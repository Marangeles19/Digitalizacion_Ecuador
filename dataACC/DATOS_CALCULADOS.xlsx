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6F329FFD-E730-4E4D-903C-4330A67627C5}" xr6:coauthVersionLast="47" xr6:coauthVersionMax="47" xr10:uidLastSave="{00000000-0000-0000-0000-000000000000}"/>
  <bookViews>
    <workbookView xWindow="3240" yWindow="3240" windowWidth="13488" windowHeight="799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6" i="1" l="1"/>
  <c r="B31" i="1"/>
  <c r="E124" i="1"/>
  <c r="C124" i="1"/>
  <c r="C125" i="1" s="1"/>
  <c r="B120" i="1" s="1"/>
  <c r="B117" i="1"/>
  <c r="B114" i="1"/>
  <c r="B111" i="1"/>
  <c r="C103" i="1"/>
  <c r="B98" i="1" s="1"/>
  <c r="E102" i="1"/>
  <c r="C102" i="1"/>
  <c r="B95" i="1"/>
  <c r="B92" i="1"/>
  <c r="B89" i="1"/>
  <c r="C80" i="1"/>
  <c r="B75" i="1" s="1"/>
  <c r="E79" i="1"/>
  <c r="C79" i="1"/>
  <c r="B72" i="1"/>
  <c r="B69" i="1"/>
  <c r="E60" i="1"/>
  <c r="C60" i="1"/>
  <c r="C61" i="1" s="1"/>
  <c r="B56" i="1" s="1"/>
  <c r="B53" i="1"/>
  <c r="B50" i="1"/>
  <c r="B47" i="1"/>
  <c r="E38" i="1"/>
  <c r="C38" i="1"/>
  <c r="C39" i="1" s="1"/>
  <c r="B34" i="1" s="1"/>
  <c r="G28" i="1"/>
  <c r="F28" i="1"/>
  <c r="E28" i="1"/>
  <c r="D28" i="1"/>
  <c r="C28" i="1"/>
  <c r="B28" i="1"/>
  <c r="B25" i="1"/>
  <c r="E17" i="1"/>
  <c r="C17" i="1"/>
  <c r="C18" i="1" s="1"/>
  <c r="B13" i="1" s="1"/>
  <c r="B10" i="1"/>
  <c r="B7" i="1"/>
  <c r="B4" i="1"/>
</calcChain>
</file>

<file path=xl/sharedStrings.xml><?xml version="1.0" encoding="utf-8"?>
<sst xmlns="http://schemas.openxmlformats.org/spreadsheetml/2006/main" count="202" uniqueCount="50">
  <si>
    <t>Año</t>
  </si>
  <si>
    <t>GOV</t>
  </si>
  <si>
    <t>OSI</t>
  </si>
  <si>
    <t>TII</t>
  </si>
  <si>
    <t>HCI</t>
  </si>
  <si>
    <t>PIB</t>
  </si>
  <si>
    <t>FUENTES</t>
  </si>
  <si>
    <t>https://publicadministration.un.org/egovkb/en-us/Data/Country-Information/id/52-Ecuador/dataYear/2020</t>
  </si>
  <si>
    <t>IDE</t>
  </si>
  <si>
    <r>
      <rPr>
        <u/>
        <sz val="10"/>
        <color rgb="FF1155CC"/>
        <rFont val="Arial"/>
        <family val="2"/>
      </rPr>
      <t>https://contenido.bce.fin.ec/documentos/informacioneconomica/SectorExterno/ix_BalanzaPagos.html</t>
    </r>
  </si>
  <si>
    <t>ACC</t>
  </si>
  <si>
    <t>IH</t>
  </si>
  <si>
    <t>UI</t>
  </si>
  <si>
    <t>CA</t>
  </si>
  <si>
    <t>SP</t>
  </si>
  <si>
    <t>AI</t>
  </si>
  <si>
    <t>VAB</t>
  </si>
  <si>
    <t>https://contenido.bce.fin.ec/documentos/informacioneconomica/SectorExterno/ix_InversionExtranjeraDirecta.html</t>
  </si>
  <si>
    <t>EXP</t>
  </si>
  <si>
    <t>https://contenido.bce.fin.ec/documentos/informacioneconomica/indicadores/real/PIBNominalAnual.html</t>
  </si>
  <si>
    <t>ECO</t>
  </si>
  <si>
    <t>Sistema de Pagos Interbancarios / PIB</t>
  </si>
  <si>
    <t>https://contenido.bce.fin.ec/documentos/informacioneconomica/indicadores/pagos/SPI_PIB.html</t>
  </si>
  <si>
    <t>%</t>
  </si>
  <si>
    <t>PAY</t>
  </si>
  <si>
    <t>SISTEMAS DE PAGOS INTERBANCARIOS / PIB</t>
  </si>
  <si>
    <t>GD</t>
  </si>
  <si>
    <t>CS</t>
  </si>
  <si>
    <t>GD normalizado</t>
  </si>
  <si>
    <t>POS</t>
  </si>
  <si>
    <t>RETIROS</t>
  </si>
  <si>
    <t>AÑO</t>
  </si>
  <si>
    <t>https://contenido.bce.fin.ec/documentos/informacioneconomica/SectorExterno/ix_BalanzaPagos.html</t>
  </si>
  <si>
    <t>https://contenido.bce.fin.ec/documentos/informacioneconomica/cuentasnacionales/ix_cuentasnacionalesanuales.html</t>
  </si>
  <si>
    <t>NORMALIZAR</t>
  </si>
  <si>
    <r>
      <rPr>
        <u/>
        <sz val="10"/>
        <color rgb="FF1155CC"/>
        <rFont val="Arial"/>
        <family val="2"/>
      </rPr>
      <t>https://contenido.bce.fin.ec/documentos/Administracion/boletinSNPV07.pdf</t>
    </r>
  </si>
  <si>
    <t>https://www.superbancos.gob.ec/estadisticas/portalestudios/servicios-financieros/</t>
  </si>
  <si>
    <r>
      <rPr>
        <u/>
        <sz val="10"/>
        <color rgb="FF1155CC"/>
        <rFont val="Arial"/>
        <family val="2"/>
      </rPr>
      <t>https://lanacion.com.ec/el-comercio-electronico-en-ecuador-superara-los-usd-4-000-millones-en-2025/</t>
    </r>
  </si>
  <si>
    <r>
      <rPr>
        <u/>
        <sz val="10"/>
        <color rgb="FF1155CC"/>
        <rFont val="Arial"/>
        <family val="2"/>
      </rPr>
      <t>https://www.primicias.ec/economia/reduccion-retiros-dinero-efectivo-pagos-digitales-billeteras-ecuador-108556/</t>
    </r>
  </si>
  <si>
    <t>GD NORMALIZADA</t>
  </si>
  <si>
    <t>SPI</t>
  </si>
  <si>
    <t>https://contenido.bce.fin.ec/documentos/Administracion/snp-estadistica-10.pdf</t>
  </si>
  <si>
    <t xml:space="preserve">Monto de Retiro </t>
  </si>
  <si>
    <t>https://revistas.uma.es/index.php/recta/article/view/19938/19804</t>
  </si>
  <si>
    <t>metodologia para pesos pag 3-5</t>
  </si>
  <si>
    <t>https://contenido.bce.fin.ec/documentos/Administracion/boletinSNPV07.pdf</t>
  </si>
  <si>
    <t>https://www.industrias.ec/recursos/Panorama_Economico_(2025-06).pdf#:~:text=y%20previsi%C3%B3n%20de%20crecimiento%20En%202024%20se,el%20PIB%20alcanzar%C3%ADa%20los%20USD%20129.018%20millones.</t>
  </si>
  <si>
    <r>
      <rPr>
        <u/>
        <sz val="12"/>
        <color rgb="FF1155CC"/>
        <rFont val="&quot;Times New Roman&quot;,serif"/>
      </rPr>
      <t>https://lanacion.com.ec/el-comercio-electronico-en-ecuador-superara-los-usd-4-000-millones-en-2025/#:~:text=El%20ecommerce%20(comercio%20electr%C3%B3nico)%20en%20Ecuador%20alcanzar%C3%A1,del%2020%25%20de%20los%20usuarios%20digitales%20realizan</t>
    </r>
  </si>
  <si>
    <t>https://www.primicias.ec/economia/reduccion-retiros-dinero-efectivo-pagos-digitales-billeteras-ecuador-108556/</t>
  </si>
  <si>
    <t xml:space="preserve">SE USA EL GOV DEL AÑO ANTERIOR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</si>
</sst>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"/>
    <numFmt numFmtId="166" formatCode="0.0000"/>
    <numFmt numFmtId="167" formatCode="#,##0.000"/>
    <numFmt numFmtId="168" formatCode="#,##0.0000"/>
    <numFmt numFmtId="169" formatCode="#,##0.0000000000"/>
  </numFmts>
  <fonts count="18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9"/>
      <color rgb="FF000000"/>
      <name val="Arial"/>
      <family val="2"/>
      <scheme val="minor"/>
    </font>
    <font>
      <sz val="10"/>
      <name val="Arial"/>
      <family val="2"/>
    </font>
    <font>
      <sz val="8"/>
      <color theme="1"/>
      <name val="Arial"/>
      <family val="2"/>
      <scheme val="minor"/>
    </font>
    <font>
      <sz val="11"/>
      <color rgb="FF000000"/>
      <name val="Calibri"/>
      <family val="2"/>
    </font>
    <font>
      <sz val="7"/>
      <color theme="1"/>
      <name val="Arial"/>
      <family val="2"/>
      <scheme val="minor"/>
    </font>
    <font>
      <sz val="10"/>
      <color theme="1"/>
      <name val="&quot;Times New Roman&quot;"/>
    </font>
    <font>
      <sz val="12"/>
      <color theme="1"/>
      <name val="&quot;Times New Roman&quot;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2"/>
      <color rgb="FF1155CC"/>
      <name val="Times New Roman"/>
      <family val="1"/>
    </font>
    <font>
      <b/>
      <sz val="12"/>
      <color theme="1"/>
      <name val="&quot;Aptos&quot;"/>
    </font>
    <font>
      <u/>
      <sz val="12"/>
      <color rgb="FF1155CC"/>
      <name val="&quot;Times New Roman&quot;,serif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2" borderId="0" xfId="0" applyFont="1" applyFill="1"/>
    <xf numFmtId="0" fontId="3" fillId="0" borderId="4" xfId="0" applyFont="1" applyBorder="1" applyAlignment="1"/>
    <xf numFmtId="4" fontId="3" fillId="0" borderId="0" xfId="0" applyNumberFormat="1" applyFont="1" applyAlignment="1"/>
    <xf numFmtId="0" fontId="2" fillId="0" borderId="5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2" fontId="2" fillId="2" borderId="0" xfId="0" applyNumberFormat="1" applyFont="1" applyFill="1"/>
    <xf numFmtId="0" fontId="6" fillId="0" borderId="4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3" borderId="9" xfId="0" applyFont="1" applyFill="1" applyBorder="1"/>
    <xf numFmtId="0" fontId="2" fillId="0" borderId="8" xfId="0" applyFont="1" applyBorder="1" applyAlignment="1"/>
    <xf numFmtId="0" fontId="2" fillId="3" borderId="5" xfId="0" applyFont="1" applyFill="1" applyBorder="1"/>
    <xf numFmtId="164" fontId="2" fillId="3" borderId="10" xfId="0" applyNumberFormat="1" applyFont="1" applyFill="1" applyBorder="1"/>
    <xf numFmtId="4" fontId="3" fillId="0" borderId="9" xfId="0" applyNumberFormat="1" applyFont="1" applyBorder="1" applyAlignment="1"/>
    <xf numFmtId="0" fontId="2" fillId="0" borderId="10" xfId="0" applyFont="1" applyBorder="1" applyAlignment="1"/>
    <xf numFmtId="4" fontId="3" fillId="0" borderId="10" xfId="0" applyNumberFormat="1" applyFont="1" applyBorder="1" applyAlignment="1"/>
    <xf numFmtId="0" fontId="8" fillId="4" borderId="0" xfId="0" applyFont="1" applyFill="1" applyAlignment="1">
      <alignment horizontal="center"/>
    </xf>
    <xf numFmtId="0" fontId="3" fillId="0" borderId="0" xfId="0" applyFont="1" applyAlignment="1"/>
    <xf numFmtId="165" fontId="2" fillId="2" borderId="0" xfId="0" applyNumberFormat="1" applyFont="1" applyFill="1"/>
    <xf numFmtId="166" fontId="2" fillId="2" borderId="0" xfId="0" applyNumberFormat="1" applyFont="1" applyFill="1"/>
    <xf numFmtId="0" fontId="2" fillId="3" borderId="0" xfId="0" applyFont="1" applyFill="1"/>
    <xf numFmtId="0" fontId="2" fillId="0" borderId="9" xfId="0" applyFont="1" applyBorder="1" applyAlignment="1"/>
    <xf numFmtId="3" fontId="9" fillId="0" borderId="0" xfId="0" applyNumberFormat="1" applyFont="1" applyAlignment="1">
      <alignment horizontal="right"/>
    </xf>
    <xf numFmtId="0" fontId="3" fillId="0" borderId="11" xfId="0" applyFont="1" applyBorder="1" applyAlignment="1"/>
    <xf numFmtId="0" fontId="3" fillId="0" borderId="6" xfId="0" applyFont="1" applyBorder="1" applyAlignment="1"/>
    <xf numFmtId="0" fontId="10" fillId="0" borderId="7" xfId="0" applyFont="1" applyBorder="1" applyAlignment="1">
      <alignment horizontal="center"/>
    </xf>
    <xf numFmtId="0" fontId="2" fillId="3" borderId="10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7" fontId="3" fillId="0" borderId="4" xfId="0" applyNumberFormat="1" applyFont="1" applyBorder="1" applyAlignment="1"/>
    <xf numFmtId="165" fontId="3" fillId="0" borderId="4" xfId="0" applyNumberFormat="1" applyFont="1" applyBorder="1" applyAlignment="1"/>
    <xf numFmtId="2" fontId="3" fillId="0" borderId="6" xfId="0" applyNumberFormat="1" applyFont="1" applyBorder="1" applyAlignment="1"/>
    <xf numFmtId="4" fontId="2" fillId="2" borderId="0" xfId="0" applyNumberFormat="1" applyFont="1" applyFill="1"/>
    <xf numFmtId="0" fontId="2" fillId="0" borderId="0" xfId="0" applyFont="1" applyAlignment="1"/>
    <xf numFmtId="166" fontId="2" fillId="3" borderId="5" xfId="0" applyNumberFormat="1" applyFont="1" applyFill="1" applyBorder="1"/>
    <xf numFmtId="0" fontId="10" fillId="0" borderId="5" xfId="0" applyFont="1" applyBorder="1" applyAlignment="1">
      <alignment horizontal="left"/>
    </xf>
    <xf numFmtId="168" fontId="3" fillId="0" borderId="4" xfId="0" applyNumberFormat="1" applyFont="1" applyBorder="1" applyAlignment="1"/>
    <xf numFmtId="0" fontId="12" fillId="0" borderId="0" xfId="0" applyFont="1" applyAlignment="1"/>
    <xf numFmtId="167" fontId="3" fillId="0" borderId="11" xfId="0" applyNumberFormat="1" applyFont="1" applyBorder="1" applyAlignment="1"/>
    <xf numFmtId="167" fontId="3" fillId="0" borderId="6" xfId="0" applyNumberFormat="1" applyFont="1" applyBorder="1" applyAlignment="1"/>
    <xf numFmtId="4" fontId="3" fillId="0" borderId="11" xfId="0" applyNumberFormat="1" applyFont="1" applyBorder="1" applyAlignment="1"/>
    <xf numFmtId="169" fontId="3" fillId="0" borderId="6" xfId="0" applyNumberFormat="1" applyFont="1" applyBorder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3" fontId="2" fillId="0" borderId="0" xfId="0" applyNumberFormat="1" applyFont="1" applyAlignment="1"/>
    <xf numFmtId="0" fontId="16" fillId="0" borderId="0" xfId="0" applyFont="1" applyAlignment="1"/>
    <xf numFmtId="4" fontId="2" fillId="0" borderId="0" xfId="0" applyNumberFormat="1" applyFont="1" applyAlignment="1"/>
    <xf numFmtId="0" fontId="3" fillId="0" borderId="7" xfId="0" applyFont="1" applyBorder="1" applyAlignment="1">
      <alignment horizontal="center"/>
    </xf>
    <xf numFmtId="0" fontId="7" fillId="0" borderId="8" xfId="0" applyFont="1" applyBorder="1"/>
    <xf numFmtId="0" fontId="2" fillId="0" borderId="1" xfId="0" applyFont="1" applyBorder="1" applyAlignment="1">
      <alignment horizontal="center" wrapText="1"/>
    </xf>
    <xf numFmtId="0" fontId="7" fillId="0" borderId="3" xfId="0" applyFont="1" applyBorder="1"/>
    <xf numFmtId="0" fontId="7" fillId="0" borderId="4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tenido.bce.fin.ec/documentos/informacioneconomica/cuentasnacionales/ix_cuentasnacionalesanuales.html" TargetMode="External"/><Relationship Id="rId13" Type="http://schemas.openxmlformats.org/officeDocument/2006/relationships/hyperlink" Target="https://lanacion.com.ec/el-comercio-electronico-en-ecuador-superara-los-usd-4-000-millones-en-2025/" TargetMode="External"/><Relationship Id="rId18" Type="http://schemas.openxmlformats.org/officeDocument/2006/relationships/hyperlink" Target="https://www.superbancos.gob.ec/estadisticas/portalestudios/servicios-financieros/" TargetMode="External"/><Relationship Id="rId3" Type="http://schemas.openxmlformats.org/officeDocument/2006/relationships/hyperlink" Target="https://contenido.bce.fin.ec/documentos/informacioneconomica/SectorExterno/ix_InversionExtranjeraDirecta.html" TargetMode="External"/><Relationship Id="rId21" Type="http://schemas.openxmlformats.org/officeDocument/2006/relationships/hyperlink" Target="https://www.industrias.ec/recursos/Panorama_Economico_(2025-06).pdf" TargetMode="External"/><Relationship Id="rId7" Type="http://schemas.openxmlformats.org/officeDocument/2006/relationships/hyperlink" Target="https://contenido.bce.fin.ec/documentos/informacioneconomica/SectorExterno/ix_InversionExtranjeraDirecta.html" TargetMode="External"/><Relationship Id="rId12" Type="http://schemas.openxmlformats.org/officeDocument/2006/relationships/hyperlink" Target="https://www.superbancos.gob.ec/estadisticas/portalestudios/servicios-financieros/" TargetMode="External"/><Relationship Id="rId17" Type="http://schemas.openxmlformats.org/officeDocument/2006/relationships/hyperlink" Target="https://www.superbancos.gob.ec/estadisticas/portalestudios/servicios-financieros/" TargetMode="External"/><Relationship Id="rId2" Type="http://schemas.openxmlformats.org/officeDocument/2006/relationships/hyperlink" Target="https://contenido.bce.fin.ec/documentos/informacioneconomica/SectorExterno/ix_BalanzaPagos.html" TargetMode="External"/><Relationship Id="rId16" Type="http://schemas.openxmlformats.org/officeDocument/2006/relationships/hyperlink" Target="https://contenido.bce.fin.ec/documentos/Administracion/snp-estadistica-10.pdf" TargetMode="External"/><Relationship Id="rId20" Type="http://schemas.openxmlformats.org/officeDocument/2006/relationships/hyperlink" Target="https://contenido.bce.fin.ec/documentos/Administracion/boletinSNPV07.pdf" TargetMode="External"/><Relationship Id="rId1" Type="http://schemas.openxmlformats.org/officeDocument/2006/relationships/hyperlink" Target="https://publicadministration.un.org/egovkb/en-us/Data/Country-Information/id/52-Ecuador/dataYear/2020" TargetMode="External"/><Relationship Id="rId6" Type="http://schemas.openxmlformats.org/officeDocument/2006/relationships/hyperlink" Target="https://contenido.bce.fin.ec/documentos/informacioneconomica/SectorExterno/ix_BalanzaPagos.html" TargetMode="External"/><Relationship Id="rId11" Type="http://schemas.openxmlformats.org/officeDocument/2006/relationships/hyperlink" Target="https://contenido.bce.fin.ec/documentos/Administracion/boletinSNPV07.pdf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contenido.bce.fin.ec/documentos/informacioneconomica/indicadores/pagos/SPI_PIB.html" TargetMode="External"/><Relationship Id="rId15" Type="http://schemas.openxmlformats.org/officeDocument/2006/relationships/hyperlink" Target="https://contenido.bce.fin.ec/documentos/informacioneconomica/indicadores/real/PIBNominalAnual.html" TargetMode="External"/><Relationship Id="rId23" Type="http://schemas.openxmlformats.org/officeDocument/2006/relationships/hyperlink" Target="https://www.primicias.ec/economia/reduccion-retiros-dinero-efectivo-pagos-digitales-billeteras-ecuador-108556/" TargetMode="External"/><Relationship Id="rId10" Type="http://schemas.openxmlformats.org/officeDocument/2006/relationships/hyperlink" Target="https://publicadministration.un.org/egovkb/en-us/Data/Country-Information/id/52-Ecuador/dataYear/2020" TargetMode="External"/><Relationship Id="rId19" Type="http://schemas.openxmlformats.org/officeDocument/2006/relationships/hyperlink" Target="https://revistas.uma.es/index.php/recta/article/view/19938/19804" TargetMode="External"/><Relationship Id="rId4" Type="http://schemas.openxmlformats.org/officeDocument/2006/relationships/hyperlink" Target="https://contenido.bce.fin.ec/documentos/informacioneconomica/indicadores/real/PIBNominalAnual.html" TargetMode="External"/><Relationship Id="rId9" Type="http://schemas.openxmlformats.org/officeDocument/2006/relationships/hyperlink" Target="https://contenido.bce.fin.ec/documentos/informacioneconomica/indicadores/pagos/SPI_PIB.html" TargetMode="External"/><Relationship Id="rId14" Type="http://schemas.openxmlformats.org/officeDocument/2006/relationships/hyperlink" Target="https://www.primicias.ec/economia/reduccion-retiros-dinero-efectivo-pagos-digitales-billeteras-ecuador-108556/" TargetMode="External"/><Relationship Id="rId22" Type="http://schemas.openxmlformats.org/officeDocument/2006/relationships/hyperlink" Target="https://lanacion.com.ec/el-comercio-electronico-en-ecuador-superara-los-usd-4-000-millones-en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P132"/>
  <sheetViews>
    <sheetView tabSelected="1" topLeftCell="A103" workbookViewId="0">
      <selection activeCell="G125" sqref="G125"/>
    </sheetView>
  </sheetViews>
  <sheetFormatPr baseColWidth="10" defaultColWidth="12.6640625" defaultRowHeight="15.75" customHeight="1"/>
  <cols>
    <col min="1" max="1" width="7.21875" customWidth="1"/>
    <col min="2" max="2" width="15.21875" customWidth="1"/>
    <col min="5" max="5" width="14.77734375" customWidth="1"/>
    <col min="7" max="7" width="27.33203125" bestFit="1" customWidth="1"/>
  </cols>
  <sheetData>
    <row r="3" spans="1:13" ht="13.2">
      <c r="A3" s="1" t="s">
        <v>0</v>
      </c>
      <c r="B3" s="2" t="s">
        <v>1</v>
      </c>
      <c r="C3" s="3" t="s">
        <v>2</v>
      </c>
      <c r="D3" s="4" t="s">
        <v>3</v>
      </c>
      <c r="E3" s="5" t="s">
        <v>4</v>
      </c>
      <c r="J3" s="1" t="s">
        <v>5</v>
      </c>
      <c r="L3" s="2" t="s">
        <v>6</v>
      </c>
    </row>
    <row r="4" spans="1:13" ht="13.2">
      <c r="A4" s="1">
        <v>2020</v>
      </c>
      <c r="B4" s="6">
        <f>(C4+D4+E4)/3</f>
        <v>0.67390000000000005</v>
      </c>
      <c r="C4" s="7">
        <v>0.81179999999999997</v>
      </c>
      <c r="D4" s="7">
        <v>0.51329999999999998</v>
      </c>
      <c r="E4" s="7">
        <v>0.6966</v>
      </c>
      <c r="J4" s="8">
        <v>95865.5</v>
      </c>
      <c r="L4" s="9" t="s">
        <v>1</v>
      </c>
      <c r="M4" s="10" t="s">
        <v>7</v>
      </c>
    </row>
    <row r="5" spans="1:13" ht="13.2">
      <c r="L5" s="2" t="s">
        <v>8</v>
      </c>
      <c r="M5" s="10" t="s">
        <v>9</v>
      </c>
    </row>
    <row r="6" spans="1:13" ht="13.2">
      <c r="B6" s="2" t="s">
        <v>10</v>
      </c>
      <c r="C6" s="3" t="s">
        <v>11</v>
      </c>
      <c r="D6" s="4" t="s">
        <v>12</v>
      </c>
      <c r="E6" s="4" t="s">
        <v>13</v>
      </c>
      <c r="F6" s="4" t="s">
        <v>14</v>
      </c>
      <c r="G6" s="5" t="s">
        <v>15</v>
      </c>
      <c r="L6" s="2" t="s">
        <v>16</v>
      </c>
      <c r="M6" s="11" t="s">
        <v>17</v>
      </c>
    </row>
    <row r="7" spans="1:13" ht="13.2">
      <c r="B7" s="6">
        <f>(C7+D7+E7+F7+(1-G7))/5</f>
        <v>45.820000000000007</v>
      </c>
      <c r="C7" s="7">
        <v>53.2</v>
      </c>
      <c r="D7" s="7">
        <v>70.7</v>
      </c>
      <c r="E7" s="7">
        <v>62.9</v>
      </c>
      <c r="F7" s="7">
        <v>51.5</v>
      </c>
      <c r="G7" s="7">
        <v>10.199999999999999</v>
      </c>
      <c r="L7" s="2" t="s">
        <v>18</v>
      </c>
    </row>
    <row r="8" spans="1:13" ht="13.2">
      <c r="L8" s="2" t="s">
        <v>5</v>
      </c>
      <c r="M8" s="10" t="s">
        <v>19</v>
      </c>
    </row>
    <row r="9" spans="1:13" ht="13.2">
      <c r="B9" s="2" t="s">
        <v>20</v>
      </c>
      <c r="C9" s="3" t="s">
        <v>8</v>
      </c>
      <c r="D9" s="4" t="s">
        <v>16</v>
      </c>
      <c r="E9" s="5" t="s">
        <v>18</v>
      </c>
      <c r="L9" s="2" t="s">
        <v>21</v>
      </c>
      <c r="M9" s="11" t="s">
        <v>22</v>
      </c>
    </row>
    <row r="10" spans="1:13" ht="13.2">
      <c r="A10" s="2" t="s">
        <v>23</v>
      </c>
      <c r="B10" s="12">
        <f>((C10+D10+E10)/J4)*100</f>
        <v>2.4994914750353354</v>
      </c>
      <c r="C10" s="13">
        <v>3.47</v>
      </c>
      <c r="D10" s="7">
        <v>2310.19</v>
      </c>
      <c r="E10" s="7">
        <v>82.49</v>
      </c>
    </row>
    <row r="11" spans="1:13" ht="13.2">
      <c r="I11" s="14"/>
      <c r="J11" s="2"/>
    </row>
    <row r="12" spans="1:13" ht="13.2">
      <c r="B12" s="2" t="s">
        <v>24</v>
      </c>
      <c r="C12" s="59" t="s">
        <v>25</v>
      </c>
      <c r="D12" s="60"/>
      <c r="E12" s="15"/>
      <c r="F12" s="15"/>
      <c r="G12" s="15"/>
      <c r="H12" s="15"/>
      <c r="I12" s="15"/>
      <c r="J12" s="2"/>
    </row>
    <row r="13" spans="1:13" ht="13.2">
      <c r="A13" s="2" t="s">
        <v>23</v>
      </c>
      <c r="B13" s="12">
        <f>(SQRT(C18*E17))*100</f>
        <v>32.828403408880568</v>
      </c>
      <c r="C13" s="61"/>
      <c r="D13" s="62"/>
      <c r="E13" s="15"/>
      <c r="F13" s="15"/>
      <c r="G13" s="15"/>
      <c r="H13" s="15"/>
      <c r="I13" s="15"/>
      <c r="J13" s="2"/>
    </row>
    <row r="14" spans="1:13" ht="13.2">
      <c r="C14" s="57">
        <v>115.37</v>
      </c>
      <c r="D14" s="58"/>
      <c r="E14" s="15"/>
      <c r="F14" s="15"/>
      <c r="G14" s="15"/>
      <c r="H14" s="15"/>
      <c r="I14" s="15"/>
      <c r="J14" s="2"/>
    </row>
    <row r="15" spans="1:13" ht="13.2">
      <c r="E15" s="15"/>
      <c r="F15" s="15"/>
      <c r="G15" s="15"/>
    </row>
    <row r="17" spans="1:13" ht="13.2">
      <c r="B17" s="16" t="s">
        <v>26</v>
      </c>
      <c r="C17" s="17">
        <f>C14/100</f>
        <v>1.1536999999999999</v>
      </c>
      <c r="D17" s="18" t="s">
        <v>27</v>
      </c>
      <c r="E17" s="19">
        <f>E18/(E18+E19)</f>
        <v>0.18682570345431246</v>
      </c>
    </row>
    <row r="18" spans="1:13" ht="13.2">
      <c r="B18" s="16" t="s">
        <v>28</v>
      </c>
      <c r="C18" s="20">
        <f>C17/2</f>
        <v>0.57684999999999997</v>
      </c>
      <c r="D18" s="5" t="s">
        <v>29</v>
      </c>
      <c r="E18" s="21">
        <v>7848015.6220000004</v>
      </c>
    </row>
    <row r="19" spans="1:13" ht="13.2">
      <c r="D19" s="22" t="s">
        <v>30</v>
      </c>
      <c r="E19" s="23">
        <v>34159135.840000004</v>
      </c>
    </row>
    <row r="24" spans="1:13" ht="13.2">
      <c r="A24" s="1" t="s">
        <v>31</v>
      </c>
      <c r="B24" s="2" t="s">
        <v>1</v>
      </c>
      <c r="C24" s="3" t="s">
        <v>2</v>
      </c>
      <c r="D24" s="4" t="s">
        <v>3</v>
      </c>
      <c r="E24" s="5" t="s">
        <v>4</v>
      </c>
      <c r="G24" s="24" t="s">
        <v>49</v>
      </c>
      <c r="J24" s="1" t="s">
        <v>5</v>
      </c>
      <c r="L24" s="2" t="s">
        <v>6</v>
      </c>
    </row>
    <row r="25" spans="1:13" ht="15.75" customHeight="1">
      <c r="A25" s="1">
        <v>2021</v>
      </c>
      <c r="B25" s="27">
        <f>(C25+D25+E25)/3</f>
        <v>0.67390000000000005</v>
      </c>
      <c r="C25" s="7">
        <v>0.81179999999999997</v>
      </c>
      <c r="D25" s="7">
        <v>0.51329999999999998</v>
      </c>
      <c r="E25" s="7">
        <v>0.6966</v>
      </c>
      <c r="J25" s="25">
        <v>107595.8</v>
      </c>
    </row>
    <row r="27" spans="1:13" ht="13.2">
      <c r="B27" s="2" t="s">
        <v>10</v>
      </c>
      <c r="C27" s="3" t="s">
        <v>11</v>
      </c>
      <c r="D27" s="4" t="s">
        <v>12</v>
      </c>
      <c r="E27" s="4" t="s">
        <v>13</v>
      </c>
      <c r="F27" s="4" t="s">
        <v>14</v>
      </c>
      <c r="G27" s="5" t="s">
        <v>15</v>
      </c>
    </row>
    <row r="28" spans="1:13" ht="13.2">
      <c r="B28" s="6">
        <f>(C28+D28+E28+F28+(1-G28))/5</f>
        <v>46.3</v>
      </c>
      <c r="C28" s="7">
        <f t="shared" ref="C28:G28" si="0">(C7+C50)/2</f>
        <v>56.8</v>
      </c>
      <c r="D28" s="7">
        <f t="shared" si="0"/>
        <v>70.2</v>
      </c>
      <c r="E28" s="7">
        <f t="shared" si="0"/>
        <v>60.849999999999994</v>
      </c>
      <c r="F28" s="7">
        <f t="shared" si="0"/>
        <v>51.85</v>
      </c>
      <c r="G28" s="7">
        <f t="shared" si="0"/>
        <v>9.1999999999999993</v>
      </c>
      <c r="L28" s="2" t="s">
        <v>20</v>
      </c>
    </row>
    <row r="29" spans="1:13" ht="13.2">
      <c r="L29" s="2" t="s">
        <v>18</v>
      </c>
      <c r="M29" s="11" t="s">
        <v>32</v>
      </c>
    </row>
    <row r="30" spans="1:13" ht="13.2">
      <c r="B30" s="2" t="s">
        <v>20</v>
      </c>
      <c r="C30" s="3" t="s">
        <v>8</v>
      </c>
      <c r="D30" s="4" t="s">
        <v>16</v>
      </c>
      <c r="E30" s="5" t="s">
        <v>18</v>
      </c>
      <c r="L30" s="2" t="s">
        <v>8</v>
      </c>
      <c r="M30" s="11" t="s">
        <v>17</v>
      </c>
    </row>
    <row r="31" spans="1:13" ht="13.2">
      <c r="A31" s="2" t="s">
        <v>23</v>
      </c>
      <c r="B31" s="26">
        <f>((C31+D31+E31)/J25)*100</f>
        <v>2.2571041806464565</v>
      </c>
      <c r="C31" s="7">
        <v>45.211599999999997</v>
      </c>
      <c r="D31" s="7">
        <v>2310.1120000000001</v>
      </c>
      <c r="E31" s="7">
        <v>73.225700000000003</v>
      </c>
      <c r="L31" s="2" t="s">
        <v>16</v>
      </c>
      <c r="M31" s="11" t="s">
        <v>33</v>
      </c>
    </row>
    <row r="32" spans="1:13" ht="13.2">
      <c r="L32" s="2" t="s">
        <v>5</v>
      </c>
      <c r="M32" s="10" t="s">
        <v>22</v>
      </c>
    </row>
    <row r="33" spans="1:13" ht="13.2">
      <c r="B33" s="2" t="s">
        <v>24</v>
      </c>
      <c r="C33" s="59" t="s">
        <v>25</v>
      </c>
      <c r="D33" s="60"/>
      <c r="E33" s="15"/>
      <c r="F33" s="15"/>
      <c r="G33" s="15"/>
      <c r="H33" s="15"/>
    </row>
    <row r="34" spans="1:13" ht="13.2">
      <c r="A34" s="2" t="s">
        <v>23</v>
      </c>
      <c r="B34" s="27">
        <f>(SQRT(C39*E38))*100</f>
        <v>34.922184446566682</v>
      </c>
      <c r="C34" s="61"/>
      <c r="D34" s="62"/>
      <c r="E34" s="15"/>
      <c r="F34" s="15"/>
      <c r="G34" s="15"/>
      <c r="H34" s="15"/>
    </row>
    <row r="35" spans="1:13" ht="13.2">
      <c r="C35" s="57">
        <v>127.74</v>
      </c>
      <c r="D35" s="58"/>
      <c r="E35" s="15"/>
      <c r="F35" s="15"/>
      <c r="G35" s="15"/>
      <c r="H35" s="15"/>
    </row>
    <row r="36" spans="1:13" ht="13.2">
      <c r="E36" s="15"/>
      <c r="F36" s="15"/>
      <c r="G36" s="15"/>
    </row>
    <row r="38" spans="1:13" ht="13.2">
      <c r="B38" s="2" t="s">
        <v>26</v>
      </c>
      <c r="C38" s="28">
        <f>C35/100</f>
        <v>1.2773999999999999</v>
      </c>
      <c r="D38" s="9" t="s">
        <v>27</v>
      </c>
      <c r="E38" s="19">
        <f>E39/(E40+E39)</f>
        <v>0.1909439434037927</v>
      </c>
    </row>
    <row r="39" spans="1:13" ht="15.75" customHeight="1">
      <c r="B39" s="9" t="s">
        <v>34</v>
      </c>
      <c r="C39" s="19">
        <f>C38/2</f>
        <v>0.63869999999999993</v>
      </c>
      <c r="D39" s="29" t="s">
        <v>29</v>
      </c>
      <c r="E39" s="30">
        <v>9520203267</v>
      </c>
    </row>
    <row r="40" spans="1:13" ht="15.75" customHeight="1">
      <c r="D40" s="22" t="s">
        <v>30</v>
      </c>
      <c r="E40" s="30">
        <v>40338425906</v>
      </c>
    </row>
    <row r="46" spans="1:13" ht="13.2">
      <c r="A46" s="1" t="s">
        <v>31</v>
      </c>
      <c r="B46" s="2" t="s">
        <v>1</v>
      </c>
      <c r="C46" s="3" t="s">
        <v>2</v>
      </c>
      <c r="D46" s="4" t="s">
        <v>3</v>
      </c>
      <c r="E46" s="5" t="s">
        <v>4</v>
      </c>
      <c r="J46" s="1" t="s">
        <v>5</v>
      </c>
      <c r="L46" s="2" t="s">
        <v>6</v>
      </c>
    </row>
    <row r="47" spans="1:13" ht="13.2">
      <c r="A47" s="1">
        <v>2022</v>
      </c>
      <c r="B47" s="27">
        <f>(C47+D47+E47)/3</f>
        <v>0.6889333333333334</v>
      </c>
      <c r="C47" s="7">
        <v>0.7651</v>
      </c>
      <c r="D47" s="7">
        <v>0.52690000000000003</v>
      </c>
      <c r="E47" s="7">
        <v>0.77480000000000004</v>
      </c>
      <c r="J47" s="25">
        <v>116133.1</v>
      </c>
      <c r="L47" s="2" t="s">
        <v>1</v>
      </c>
      <c r="M47" s="10" t="s">
        <v>7</v>
      </c>
    </row>
    <row r="49" spans="1:13" ht="13.2">
      <c r="B49" s="2" t="s">
        <v>10</v>
      </c>
      <c r="C49" s="3" t="s">
        <v>11</v>
      </c>
      <c r="D49" s="4" t="s">
        <v>12</v>
      </c>
      <c r="E49" s="4" t="s">
        <v>13</v>
      </c>
      <c r="F49" s="4" t="s">
        <v>14</v>
      </c>
      <c r="G49" s="5" t="s">
        <v>15</v>
      </c>
    </row>
    <row r="50" spans="1:13" ht="13.2">
      <c r="B50" s="6">
        <f>(C50+D50+E50+F50+(1-G50))/5</f>
        <v>46.779999999999994</v>
      </c>
      <c r="C50" s="7">
        <v>60.4</v>
      </c>
      <c r="D50" s="7">
        <v>69.7</v>
      </c>
      <c r="E50" s="7">
        <v>58.8</v>
      </c>
      <c r="F50" s="7">
        <v>52.2</v>
      </c>
      <c r="G50" s="7">
        <v>8.1999999999999993</v>
      </c>
    </row>
    <row r="52" spans="1:13" ht="13.2">
      <c r="B52" s="2" t="s">
        <v>20</v>
      </c>
      <c r="C52" s="3" t="s">
        <v>8</v>
      </c>
      <c r="D52" s="4" t="s">
        <v>16</v>
      </c>
      <c r="E52" s="5" t="s">
        <v>18</v>
      </c>
    </row>
    <row r="53" spans="1:13" ht="13.2">
      <c r="A53" s="2" t="s">
        <v>23</v>
      </c>
      <c r="B53" s="27">
        <f>((C53+D53+E53)/J47)*100</f>
        <v>2.216647105777767</v>
      </c>
      <c r="C53" s="7">
        <v>18.03</v>
      </c>
      <c r="D53" s="31">
        <v>2483.2919999999999</v>
      </c>
      <c r="E53" s="32">
        <v>72.938999999999993</v>
      </c>
    </row>
    <row r="54" spans="1:13" ht="13.2">
      <c r="L54" s="2" t="s">
        <v>24</v>
      </c>
    </row>
    <row r="55" spans="1:13" ht="13.2">
      <c r="B55" s="2" t="s">
        <v>24</v>
      </c>
      <c r="C55" s="59" t="s">
        <v>25</v>
      </c>
      <c r="D55" s="60"/>
      <c r="E55" s="15"/>
      <c r="F55" s="15"/>
      <c r="G55" s="15"/>
      <c r="H55" s="15"/>
      <c r="M55" s="10" t="s">
        <v>35</v>
      </c>
    </row>
    <row r="56" spans="1:13" ht="13.2">
      <c r="A56" s="2" t="s">
        <v>23</v>
      </c>
      <c r="B56" s="27">
        <f>SQRT(C61*E60)*100</f>
        <v>36.189363550038358</v>
      </c>
      <c r="C56" s="61"/>
      <c r="D56" s="62"/>
      <c r="E56" s="15"/>
      <c r="F56" s="15"/>
      <c r="G56" s="15"/>
      <c r="H56" s="15"/>
      <c r="M56" s="10" t="s">
        <v>36</v>
      </c>
    </row>
    <row r="57" spans="1:13" ht="13.2">
      <c r="C57" s="57">
        <v>134.66</v>
      </c>
      <c r="D57" s="58"/>
      <c r="E57" s="15"/>
      <c r="F57" s="15"/>
      <c r="G57" s="15"/>
      <c r="H57" s="15"/>
      <c r="M57" s="10" t="s">
        <v>37</v>
      </c>
    </row>
    <row r="58" spans="1:13" ht="13.2">
      <c r="E58" s="15"/>
      <c r="F58" s="15"/>
      <c r="G58" s="15"/>
      <c r="M58" s="10" t="s">
        <v>38</v>
      </c>
    </row>
    <row r="60" spans="1:13" ht="13.2">
      <c r="B60" s="16" t="s">
        <v>26</v>
      </c>
      <c r="C60" s="17">
        <f>C57/100</f>
        <v>1.3466</v>
      </c>
      <c r="D60" s="18" t="s">
        <v>27</v>
      </c>
      <c r="E60" s="19">
        <f>E61/(E61+E62)</f>
        <v>0.19451508007676291</v>
      </c>
    </row>
    <row r="61" spans="1:13" ht="13.2">
      <c r="B61" s="33" t="s">
        <v>39</v>
      </c>
      <c r="C61" s="34">
        <f>C60/2</f>
        <v>0.67330000000000001</v>
      </c>
      <c r="D61" s="5" t="s">
        <v>29</v>
      </c>
      <c r="E61" s="21">
        <v>10910791431</v>
      </c>
    </row>
    <row r="62" spans="1:13" ht="13.2">
      <c r="D62" s="22" t="s">
        <v>30</v>
      </c>
      <c r="E62" s="23">
        <v>45181473635</v>
      </c>
    </row>
    <row r="65" spans="1:13" ht="13.2">
      <c r="A65" s="1" t="s">
        <v>31</v>
      </c>
      <c r="B65" s="2" t="s">
        <v>1</v>
      </c>
      <c r="C65" s="3" t="s">
        <v>2</v>
      </c>
      <c r="D65" s="4" t="s">
        <v>3</v>
      </c>
      <c r="E65" s="5" t="s">
        <v>4</v>
      </c>
      <c r="G65" s="24" t="s">
        <v>49</v>
      </c>
      <c r="J65" s="1" t="s">
        <v>5</v>
      </c>
      <c r="L65" s="35" t="s">
        <v>6</v>
      </c>
    </row>
    <row r="66" spans="1:13" ht="13.2">
      <c r="A66" s="1">
        <v>2023</v>
      </c>
      <c r="B66" s="27">
        <f>(C66+D66+E66)/3</f>
        <v>0.6889333333333334</v>
      </c>
      <c r="C66" s="7">
        <v>0.7651</v>
      </c>
      <c r="D66" s="7">
        <v>0.52690000000000003</v>
      </c>
      <c r="E66" s="7">
        <v>0.77480000000000004</v>
      </c>
      <c r="J66" s="25">
        <v>121147.1</v>
      </c>
      <c r="L66" s="36" t="s">
        <v>5</v>
      </c>
      <c r="M66" s="11" t="s">
        <v>19</v>
      </c>
    </row>
    <row r="67" spans="1:13" ht="13.2">
      <c r="L67" s="14" t="s">
        <v>40</v>
      </c>
      <c r="M67" s="11" t="s">
        <v>41</v>
      </c>
    </row>
    <row r="68" spans="1:13" ht="13.2">
      <c r="B68" s="2" t="s">
        <v>10</v>
      </c>
      <c r="C68" s="3" t="s">
        <v>11</v>
      </c>
      <c r="D68" s="4" t="s">
        <v>12</v>
      </c>
      <c r="E68" s="4" t="s">
        <v>13</v>
      </c>
      <c r="F68" s="4" t="s">
        <v>14</v>
      </c>
      <c r="G68" s="5" t="s">
        <v>15</v>
      </c>
      <c r="L68" s="37" t="s">
        <v>29</v>
      </c>
      <c r="M68" s="11" t="s">
        <v>36</v>
      </c>
    </row>
    <row r="69" spans="1:13" ht="13.2">
      <c r="B69" s="6">
        <f>(C69+D69+E69+F69+(1-G69))/5</f>
        <v>0.54819999999999991</v>
      </c>
      <c r="C69" s="38">
        <v>0.622</v>
      </c>
      <c r="D69" s="7">
        <v>0.72699999999999998</v>
      </c>
      <c r="E69" s="7">
        <v>0.59599999999999997</v>
      </c>
      <c r="F69" s="7">
        <v>0.55600000000000005</v>
      </c>
      <c r="G69" s="7">
        <v>0.76</v>
      </c>
      <c r="L69" s="14" t="s">
        <v>42</v>
      </c>
      <c r="M69" s="11" t="s">
        <v>36</v>
      </c>
    </row>
    <row r="70" spans="1:13" ht="13.2">
      <c r="L70" s="14" t="s">
        <v>20</v>
      </c>
    </row>
    <row r="71" spans="1:13" ht="13.2">
      <c r="B71" s="2" t="s">
        <v>20</v>
      </c>
      <c r="C71" s="3" t="s">
        <v>8</v>
      </c>
      <c r="D71" s="4" t="s">
        <v>16</v>
      </c>
      <c r="E71" s="5" t="s">
        <v>18</v>
      </c>
    </row>
    <row r="72" spans="1:13" ht="13.2">
      <c r="A72" s="2" t="s">
        <v>23</v>
      </c>
      <c r="B72" s="27">
        <f>((C72+D72+E72)/J66)*100</f>
        <v>2.1497749430238113</v>
      </c>
      <c r="C72" s="39">
        <v>37.959000000000003</v>
      </c>
      <c r="D72" s="31">
        <v>2469.6010000000001</v>
      </c>
      <c r="E72" s="40">
        <v>96.83</v>
      </c>
    </row>
    <row r="74" spans="1:13" ht="13.2">
      <c r="B74" s="2" t="s">
        <v>24</v>
      </c>
      <c r="C74" s="59" t="s">
        <v>25</v>
      </c>
      <c r="D74" s="60"/>
      <c r="E74" s="15"/>
      <c r="F74" s="15"/>
      <c r="G74" s="15"/>
      <c r="H74" s="15"/>
    </row>
    <row r="75" spans="1:13" ht="13.2">
      <c r="A75" s="2" t="s">
        <v>23</v>
      </c>
      <c r="B75" s="41">
        <f>SQRT(C80*E79)*100</f>
        <v>39.211033643415817</v>
      </c>
      <c r="C75" s="61"/>
      <c r="D75" s="62"/>
      <c r="E75" s="15"/>
      <c r="F75" s="15"/>
      <c r="G75" s="15"/>
      <c r="H75" s="15"/>
    </row>
    <row r="76" spans="1:13" ht="13.2">
      <c r="C76" s="57">
        <v>136.79</v>
      </c>
      <c r="D76" s="58"/>
      <c r="E76" s="15"/>
      <c r="F76" s="15"/>
      <c r="G76" s="15"/>
      <c r="H76" s="15"/>
    </row>
    <row r="77" spans="1:13" ht="13.2">
      <c r="E77" s="15"/>
      <c r="F77" s="15"/>
      <c r="G77" s="15"/>
    </row>
    <row r="79" spans="1:13" ht="13.2">
      <c r="B79" s="2" t="s">
        <v>26</v>
      </c>
      <c r="C79" s="28">
        <f>C76/100</f>
        <v>1.3678999999999999</v>
      </c>
      <c r="D79" s="9" t="s">
        <v>27</v>
      </c>
      <c r="E79" s="19">
        <f>E80/(E80+E81)</f>
        <v>0.22479788864465053</v>
      </c>
    </row>
    <row r="80" spans="1:13" ht="13.2">
      <c r="B80" s="9" t="s">
        <v>28</v>
      </c>
      <c r="C80" s="19">
        <f>C79/2</f>
        <v>0.68394999999999995</v>
      </c>
      <c r="D80" s="29" t="s">
        <v>29</v>
      </c>
      <c r="E80" s="21">
        <v>12154309.528000001</v>
      </c>
    </row>
    <row r="81" spans="1:16" ht="13.2">
      <c r="D81" s="22" t="s">
        <v>30</v>
      </c>
      <c r="E81" s="23">
        <v>41913411.487000003</v>
      </c>
    </row>
    <row r="88" spans="1:16" ht="13.2">
      <c r="A88" s="1" t="s">
        <v>31</v>
      </c>
      <c r="B88" s="2" t="s">
        <v>1</v>
      </c>
      <c r="C88" s="3" t="s">
        <v>2</v>
      </c>
      <c r="D88" s="4" t="s">
        <v>3</v>
      </c>
      <c r="E88" s="5" t="s">
        <v>4</v>
      </c>
      <c r="J88" s="1" t="s">
        <v>5</v>
      </c>
      <c r="L88" s="2" t="s">
        <v>6</v>
      </c>
    </row>
    <row r="89" spans="1:16" ht="13.2">
      <c r="A89" s="1">
        <v>2024</v>
      </c>
      <c r="B89" s="27">
        <f>(C89+D89+E89)/3</f>
        <v>0.7799666666666667</v>
      </c>
      <c r="C89" s="7">
        <v>0.8851</v>
      </c>
      <c r="D89" s="31">
        <v>0.68330000000000002</v>
      </c>
      <c r="E89" s="32">
        <v>0.77149999999999996</v>
      </c>
      <c r="J89" s="2">
        <v>124676.1</v>
      </c>
      <c r="L89" s="11" t="s">
        <v>43</v>
      </c>
      <c r="P89" s="2" t="s">
        <v>44</v>
      </c>
    </row>
    <row r="90" spans="1:16" ht="13.2">
      <c r="L90" s="42"/>
    </row>
    <row r="91" spans="1:16" ht="13.2">
      <c r="B91" s="2" t="s">
        <v>10</v>
      </c>
      <c r="C91" s="3" t="s">
        <v>11</v>
      </c>
      <c r="D91" s="4" t="s">
        <v>12</v>
      </c>
      <c r="E91" s="4" t="s">
        <v>13</v>
      </c>
      <c r="F91" s="4" t="s">
        <v>14</v>
      </c>
      <c r="G91" s="5" t="s">
        <v>15</v>
      </c>
    </row>
    <row r="92" spans="1:16" ht="13.2">
      <c r="B92" s="6">
        <f>(C92+D92+E92+F92+(1-G92))/5</f>
        <v>51.52</v>
      </c>
      <c r="C92" s="7">
        <v>66</v>
      </c>
      <c r="D92" s="31">
        <v>77.2</v>
      </c>
      <c r="E92" s="31">
        <v>61.3</v>
      </c>
      <c r="F92" s="31">
        <v>57.5</v>
      </c>
      <c r="G92" s="32">
        <v>5.4</v>
      </c>
    </row>
    <row r="94" spans="1:16" ht="13.2">
      <c r="B94" s="2" t="s">
        <v>20</v>
      </c>
      <c r="C94" s="3" t="s">
        <v>8</v>
      </c>
      <c r="D94" s="4" t="s">
        <v>16</v>
      </c>
      <c r="E94" s="5" t="s">
        <v>18</v>
      </c>
    </row>
    <row r="95" spans="1:16" ht="13.2">
      <c r="A95" s="14" t="s">
        <v>23</v>
      </c>
      <c r="B95" s="12">
        <f>((C95+D95+E95)/J89)*100</f>
        <v>2.5488525868229757</v>
      </c>
      <c r="C95" s="7">
        <v>103.69</v>
      </c>
      <c r="D95" s="31">
        <v>2979.27</v>
      </c>
      <c r="E95" s="32">
        <v>94.85</v>
      </c>
    </row>
    <row r="97" spans="1:12" ht="13.2">
      <c r="B97" s="2" t="s">
        <v>24</v>
      </c>
      <c r="C97" s="59" t="s">
        <v>25</v>
      </c>
      <c r="D97" s="60"/>
      <c r="E97" s="15"/>
      <c r="F97" s="15"/>
      <c r="G97" s="15"/>
      <c r="H97" s="15"/>
    </row>
    <row r="98" spans="1:12" ht="13.2">
      <c r="A98" s="14" t="s">
        <v>23</v>
      </c>
      <c r="B98" s="41">
        <f>SQRT(C103*E102)*100</f>
        <v>39.610282598800993</v>
      </c>
      <c r="C98" s="61"/>
      <c r="D98" s="62"/>
      <c r="E98" s="15"/>
      <c r="F98" s="15"/>
      <c r="G98" s="15"/>
      <c r="H98" s="15"/>
    </row>
    <row r="99" spans="1:12" ht="13.2">
      <c r="C99" s="57">
        <v>139.5</v>
      </c>
      <c r="D99" s="58"/>
      <c r="E99" s="15"/>
      <c r="F99" s="15"/>
      <c r="G99" s="15"/>
      <c r="H99" s="15"/>
    </row>
    <row r="100" spans="1:12" ht="13.2">
      <c r="E100" s="15"/>
      <c r="F100" s="15"/>
      <c r="G100" s="15"/>
    </row>
    <row r="102" spans="1:12" ht="13.2">
      <c r="B102" s="2" t="s">
        <v>26</v>
      </c>
      <c r="C102" s="28">
        <f>C99/100</f>
        <v>1.395</v>
      </c>
      <c r="D102" s="9" t="s">
        <v>27</v>
      </c>
      <c r="E102" s="43">
        <f>E103/(E103+E104)</f>
        <v>0.224942578861201</v>
      </c>
    </row>
    <row r="103" spans="1:12" ht="13.2">
      <c r="B103" s="44" t="s">
        <v>39</v>
      </c>
      <c r="C103" s="43">
        <f>C102/2</f>
        <v>0.69750000000000001</v>
      </c>
      <c r="D103" s="29" t="s">
        <v>29</v>
      </c>
      <c r="E103" s="21">
        <v>12207088.439999999</v>
      </c>
    </row>
    <row r="104" spans="1:12" ht="13.2">
      <c r="D104" s="22" t="s">
        <v>30</v>
      </c>
      <c r="E104" s="23">
        <v>42060487.32</v>
      </c>
    </row>
    <row r="110" spans="1:12" ht="13.2">
      <c r="A110" s="1" t="s">
        <v>31</v>
      </c>
      <c r="B110" s="2" t="s">
        <v>1</v>
      </c>
      <c r="C110" s="3" t="s">
        <v>2</v>
      </c>
      <c r="D110" s="4" t="s">
        <v>3</v>
      </c>
      <c r="E110" s="5" t="s">
        <v>4</v>
      </c>
      <c r="G110" s="24" t="s">
        <v>49</v>
      </c>
      <c r="J110" s="1" t="s">
        <v>5</v>
      </c>
      <c r="L110" s="2" t="s">
        <v>6</v>
      </c>
    </row>
    <row r="111" spans="1:12" ht="13.2">
      <c r="A111" s="1">
        <v>2025</v>
      </c>
      <c r="B111" s="27">
        <f>(C111+D111+E111)/3</f>
        <v>0.7799666666666667</v>
      </c>
      <c r="C111" s="7">
        <v>0.8851</v>
      </c>
      <c r="D111" s="31">
        <v>0.68330000000000002</v>
      </c>
      <c r="E111" s="32">
        <v>0.77149999999999996</v>
      </c>
      <c r="J111" s="45">
        <v>129018</v>
      </c>
    </row>
    <row r="113" spans="1:14" ht="15">
      <c r="B113" s="2" t="s">
        <v>10</v>
      </c>
      <c r="C113" s="3" t="s">
        <v>11</v>
      </c>
      <c r="D113" s="4" t="s">
        <v>12</v>
      </c>
      <c r="E113" s="4" t="s">
        <v>13</v>
      </c>
      <c r="F113" s="4" t="s">
        <v>14</v>
      </c>
      <c r="G113" s="5" t="s">
        <v>15</v>
      </c>
      <c r="L113" s="46"/>
    </row>
    <row r="114" spans="1:14" ht="15">
      <c r="B114" s="6">
        <f>(C114+D114+E114+F114+(1-G114))/5</f>
        <v>0.74099999999999999</v>
      </c>
      <c r="C114" s="38">
        <v>0.71299999999999997</v>
      </c>
      <c r="D114" s="47">
        <v>0.80100000000000005</v>
      </c>
      <c r="E114" s="47">
        <v>0.61899999999999999</v>
      </c>
      <c r="F114" s="47">
        <v>0.59299999999999997</v>
      </c>
      <c r="G114" s="48">
        <v>2.1000000000000001E-2</v>
      </c>
      <c r="L114" s="46"/>
    </row>
    <row r="116" spans="1:14" ht="13.2">
      <c r="B116" s="2" t="s">
        <v>20</v>
      </c>
      <c r="C116" s="3" t="s">
        <v>8</v>
      </c>
      <c r="D116" s="4" t="s">
        <v>16</v>
      </c>
      <c r="E116" s="5" t="s">
        <v>18</v>
      </c>
      <c r="L116" s="2" t="s">
        <v>24</v>
      </c>
    </row>
    <row r="117" spans="1:14" ht="13.2">
      <c r="A117" s="2" t="s">
        <v>23</v>
      </c>
      <c r="B117" s="6">
        <f>((C117+D117+E117)/J111)*100</f>
        <v>2.5048282819889476</v>
      </c>
      <c r="C117" s="45">
        <v>26.615200000000002</v>
      </c>
      <c r="D117" s="49">
        <v>3079.27</v>
      </c>
      <c r="E117" s="50">
        <v>125.79415285650001</v>
      </c>
      <c r="M117" s="51" t="s">
        <v>45</v>
      </c>
      <c r="N117" s="52"/>
    </row>
    <row r="118" spans="1:14" ht="13.2">
      <c r="M118" s="51" t="s">
        <v>46</v>
      </c>
      <c r="N118" s="52"/>
    </row>
    <row r="119" spans="1:14" ht="15.75" customHeight="1">
      <c r="B119" s="2" t="s">
        <v>24</v>
      </c>
      <c r="C119" s="59" t="s">
        <v>25</v>
      </c>
      <c r="D119" s="60"/>
      <c r="E119" s="15"/>
      <c r="F119" s="15"/>
      <c r="G119" s="15"/>
      <c r="H119" s="15"/>
      <c r="M119" s="53" t="s">
        <v>47</v>
      </c>
      <c r="N119" s="52"/>
    </row>
    <row r="120" spans="1:14" ht="15.75" customHeight="1">
      <c r="A120" s="2" t="s">
        <v>23</v>
      </c>
      <c r="B120" s="6">
        <f>SQRT(C125*E124)*100</f>
        <v>48.291222946068238</v>
      </c>
      <c r="C120" s="61"/>
      <c r="D120" s="62"/>
      <c r="E120" s="15"/>
      <c r="F120" s="15"/>
      <c r="G120" s="15"/>
      <c r="H120" s="15"/>
      <c r="M120" s="53" t="s">
        <v>48</v>
      </c>
      <c r="N120" s="52"/>
    </row>
    <row r="121" spans="1:14" ht="13.2">
      <c r="C121" s="57">
        <v>150.59</v>
      </c>
      <c r="D121" s="58"/>
      <c r="E121" s="15"/>
      <c r="F121" s="15"/>
      <c r="G121" s="15"/>
      <c r="H121" s="15"/>
      <c r="M121" s="52"/>
      <c r="N121" s="52"/>
    </row>
    <row r="122" spans="1:14" ht="13.2">
      <c r="E122" s="15"/>
      <c r="F122" s="15"/>
      <c r="G122" s="15"/>
      <c r="H122" s="15"/>
      <c r="M122" s="52"/>
      <c r="N122" s="52"/>
    </row>
    <row r="123" spans="1:14" ht="13.2">
      <c r="M123" s="52"/>
      <c r="N123" s="52"/>
    </row>
    <row r="124" spans="1:14" ht="13.2">
      <c r="B124" s="2" t="s">
        <v>26</v>
      </c>
      <c r="C124" s="28">
        <f>C121/100</f>
        <v>1.5059</v>
      </c>
      <c r="D124" s="9" t="s">
        <v>27</v>
      </c>
      <c r="E124" s="19">
        <f>E125/(E125+E126)</f>
        <v>0.30972072695754932</v>
      </c>
      <c r="M124" s="52"/>
      <c r="N124" s="52"/>
    </row>
    <row r="125" spans="1:14" ht="13.2">
      <c r="B125" s="9" t="s">
        <v>34</v>
      </c>
      <c r="C125" s="19">
        <f>C124/2</f>
        <v>0.75295000000000001</v>
      </c>
      <c r="D125" s="29" t="s">
        <v>29</v>
      </c>
      <c r="E125" s="54">
        <v>14658240959</v>
      </c>
    </row>
    <row r="126" spans="1:14" ht="13.2">
      <c r="D126" s="22" t="s">
        <v>30</v>
      </c>
      <c r="E126" s="54">
        <v>32669043536.91</v>
      </c>
    </row>
    <row r="127" spans="1:14" ht="15.75" customHeight="1">
      <c r="C127" s="55"/>
      <c r="E127" s="2"/>
      <c r="G127" s="56"/>
    </row>
    <row r="128" spans="1:14" ht="15.75" customHeight="1">
      <c r="C128" s="55"/>
      <c r="E128" s="2"/>
      <c r="F128" s="2"/>
      <c r="G128" s="56"/>
    </row>
    <row r="130" spans="4:8" ht="13.2">
      <c r="E130" s="2"/>
      <c r="F130" s="2"/>
      <c r="G130" s="2"/>
      <c r="H130" s="2"/>
    </row>
    <row r="131" spans="4:8" ht="15.75" customHeight="1">
      <c r="D131" s="55"/>
      <c r="E131" s="2"/>
    </row>
    <row r="132" spans="4:8" ht="13.2">
      <c r="E132" s="54"/>
    </row>
  </sheetData>
  <mergeCells count="12">
    <mergeCell ref="C76:D76"/>
    <mergeCell ref="C97:D98"/>
    <mergeCell ref="C99:D99"/>
    <mergeCell ref="C119:D120"/>
    <mergeCell ref="C121:D121"/>
    <mergeCell ref="C57:D57"/>
    <mergeCell ref="C74:D75"/>
    <mergeCell ref="C12:D13"/>
    <mergeCell ref="C14:D14"/>
    <mergeCell ref="C33:D34"/>
    <mergeCell ref="C35:D35"/>
    <mergeCell ref="C55:D56"/>
  </mergeCells>
  <hyperlinks>
    <hyperlink ref="M4" r:id="rId1" xr:uid="{00000000-0004-0000-0000-000000000000}"/>
    <hyperlink ref="M5" r:id="rId2" xr:uid="{00000000-0004-0000-0000-000001000000}"/>
    <hyperlink ref="M6" r:id="rId3" xr:uid="{00000000-0004-0000-0000-000002000000}"/>
    <hyperlink ref="M8" r:id="rId4" xr:uid="{00000000-0004-0000-0000-000003000000}"/>
    <hyperlink ref="M9" r:id="rId5" xr:uid="{00000000-0004-0000-0000-000004000000}"/>
    <hyperlink ref="M29" r:id="rId6" xr:uid="{00000000-0004-0000-0000-000005000000}"/>
    <hyperlink ref="M30" r:id="rId7" xr:uid="{00000000-0004-0000-0000-000006000000}"/>
    <hyperlink ref="M31" r:id="rId8" xr:uid="{00000000-0004-0000-0000-000007000000}"/>
    <hyperlink ref="M32" r:id="rId9" xr:uid="{00000000-0004-0000-0000-000008000000}"/>
    <hyperlink ref="M47" r:id="rId10" xr:uid="{00000000-0004-0000-0000-000009000000}"/>
    <hyperlink ref="M55" r:id="rId11" xr:uid="{00000000-0004-0000-0000-00000A000000}"/>
    <hyperlink ref="M56" r:id="rId12" xr:uid="{00000000-0004-0000-0000-00000B000000}"/>
    <hyperlink ref="M57" r:id="rId13" xr:uid="{00000000-0004-0000-0000-00000C000000}"/>
    <hyperlink ref="M58" r:id="rId14" xr:uid="{00000000-0004-0000-0000-00000D000000}"/>
    <hyperlink ref="M66" r:id="rId15" xr:uid="{00000000-0004-0000-0000-00000E000000}"/>
    <hyperlink ref="M67" r:id="rId16" xr:uid="{00000000-0004-0000-0000-00000F000000}"/>
    <hyperlink ref="M68" r:id="rId17" xr:uid="{00000000-0004-0000-0000-000010000000}"/>
    <hyperlink ref="M69" r:id="rId18" xr:uid="{00000000-0004-0000-0000-000011000000}"/>
    <hyperlink ref="L89" r:id="rId19" xr:uid="{00000000-0004-0000-0000-000012000000}"/>
    <hyperlink ref="M117" r:id="rId20" xr:uid="{00000000-0004-0000-0000-000013000000}"/>
    <hyperlink ref="M118" r:id="rId21" location=":~:text=y%20previsi%C3%B3n%20de%20crecimiento%20En%202024%20se,el%20PIB%20alcanzar%C3%ADa%20los%20USD%20129.018%20millones." xr:uid="{00000000-0004-0000-0000-000014000000}"/>
    <hyperlink ref="M119" r:id="rId22" location=":~:text=El%20ecommerce%20(comercio%20electr%C3%B3nico)%20en%20Ecuador%20alcanzar%C3%A1,del%2020%25%20de%20los%20usuarios%20digitales%20realizan" xr:uid="{00000000-0004-0000-0000-000015000000}"/>
    <hyperlink ref="M120" r:id="rId23" xr:uid="{00000000-0004-0000-0000-000016000000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de los Ángeles Taco</cp:lastModifiedBy>
  <dcterms:modified xsi:type="dcterms:W3CDTF">2026-02-23T15:44:43Z</dcterms:modified>
</cp:coreProperties>
</file>