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allan\OneDrive\Desktop\"/>
    </mc:Choice>
  </mc:AlternateContent>
  <xr:revisionPtr revIDLastSave="3" documentId="13_ncr:1_{ACDEAD92-FA89-494F-8ACD-8D5E8E283D00}" xr6:coauthVersionLast="47" xr6:coauthVersionMax="47" xr10:uidLastSave="{EC3CCBF7-C486-455C-BDE8-DAF79897EE96}"/>
  <bookViews>
    <workbookView xWindow="-120" yWindow="-120" windowWidth="29040" windowHeight="15720" xr2:uid="{1474D0AC-B79F-4919-85F4-D60AD70ED7B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6" i="1" l="1"/>
  <c r="P126" i="1"/>
  <c r="O172" i="1"/>
  <c r="O173" i="1"/>
  <c r="P129" i="1"/>
  <c r="P131" i="1"/>
  <c r="P130" i="1"/>
  <c r="P128" i="1"/>
  <c r="P127" i="1"/>
  <c r="Q173" i="1"/>
  <c r="Q172" i="1"/>
  <c r="O174" i="1"/>
  <c r="J152" i="1"/>
  <c r="O126" i="1"/>
  <c r="N152" i="1"/>
  <c r="M120" i="1"/>
  <c r="M117" i="1"/>
  <c r="E90" i="1"/>
  <c r="E45" i="1"/>
  <c r="F42" i="1" s="1"/>
</calcChain>
</file>

<file path=xl/sharedStrings.xml><?xml version="1.0" encoding="utf-8"?>
<sst xmlns="http://schemas.openxmlformats.org/spreadsheetml/2006/main" count="43" uniqueCount="30">
  <si>
    <t xml:space="preserve">Exportaciones de TI </t>
  </si>
  <si>
    <t xml:space="preserve">Año </t>
  </si>
  <si>
    <t xml:space="preserve">Trimestres </t>
  </si>
  <si>
    <t xml:space="preserve">Credito (MM) </t>
  </si>
  <si>
    <t xml:space="preserve">Total Anual </t>
  </si>
  <si>
    <t xml:space="preserve">Inversion extranjera directa de TI </t>
  </si>
  <si>
    <t>IDE miles</t>
  </si>
  <si>
    <t>Total Anual MM</t>
  </si>
  <si>
    <t xml:space="preserve">Valor Agregado Bruto </t>
  </si>
  <si>
    <t>VAB MM</t>
  </si>
  <si>
    <t>X</t>
  </si>
  <si>
    <t>Y</t>
  </si>
  <si>
    <t>y = 99,3x + 497,47</t>
  </si>
  <si>
    <t>y=(99,3*25)+497,47</t>
  </si>
  <si>
    <t>y=(99,3*26)+497,47</t>
  </si>
  <si>
    <t>PIB Nominal</t>
  </si>
  <si>
    <t>ECO</t>
  </si>
  <si>
    <t>PIB MM</t>
  </si>
  <si>
    <t>Y =</t>
  </si>
  <si>
    <t>EDGI</t>
  </si>
  <si>
    <t>0.48400</t>
  </si>
  <si>
    <t>0.43219</t>
  </si>
  <si>
    <t>0.48685</t>
  </si>
  <si>
    <t>0.50529</t>
  </si>
  <si>
    <t>0.56254</t>
  </si>
  <si>
    <t>0.61290</t>
  </si>
  <si>
    <t>0.70150</t>
  </si>
  <si>
    <t>0.68890</t>
  </si>
  <si>
    <t>0.77997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</si>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</sst>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* #,##0.0_ ;_ * \-#,##0.0_ ;_ * &quot;-&quot;?_ ;_ @_ "/>
    <numFmt numFmtId="166" formatCode="_(* #,##0.0_);_(* \(#,##0.0\);_(* &quot;-&quot;?_);_(@_)"/>
    <numFmt numFmtId="167" formatCode="_(* #,##0.000_);_(* \(#,##0.000\);_(* &quot;-&quot;?_);_(@_)"/>
    <numFmt numFmtId="168" formatCode="#,##0.0"/>
    <numFmt numFmtId="169" formatCode="_ * #,##0.0_ ;_ * \-#,##0.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9" fontId="6" fillId="0" borderId="5" xfId="13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8" fontId="6" fillId="0" borderId="4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3" borderId="10" xfId="0" applyFill="1" applyBorder="1"/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/>
    </xf>
    <xf numFmtId="10" fontId="0" fillId="2" borderId="10" xfId="1" applyNumberFormat="1" applyFont="1" applyFill="1" applyBorder="1" applyAlignment="1">
      <alignment horizontal="center"/>
    </xf>
    <xf numFmtId="10" fontId="0" fillId="2" borderId="11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165" fontId="0" fillId="5" borderId="0" xfId="0" applyNumberFormat="1" applyFill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</cellXfs>
  <cellStyles count="15">
    <cellStyle name="ANCLAS,REZONES Y SUS PARTES,DE FUNDICION,DE HIERRO O DE ACERO" xfId="4" xr:uid="{DF05E4A0-9CA8-47E3-B8E3-D442CB933341}"/>
    <cellStyle name="Hipervínculo 2" xfId="6" xr:uid="{10238CC6-F21D-44C6-9028-E21CDD577472}"/>
    <cellStyle name="Millares 2" xfId="10" xr:uid="{BADA59DF-B535-46B0-81C4-CE26A3CD0B64}"/>
    <cellStyle name="Millares 2 2" xfId="13" xr:uid="{0CDEDC83-A080-43A3-A6CB-D2C8028AD06B}"/>
    <cellStyle name="Millares 3" xfId="11" xr:uid="{7DB73155-5015-42DD-803D-CABD90775044}"/>
    <cellStyle name="Millares 4" xfId="9" xr:uid="{FBFFDF0B-B434-4366-9D4F-E1A0101E047B}"/>
    <cellStyle name="Millares 4 2" xfId="12" xr:uid="{F1EFDA23-D06F-4437-86A1-F7A4BFA3F9A8}"/>
    <cellStyle name="Millares 5" xfId="3" xr:uid="{C0138E36-7207-4B90-8870-EAEEC6E38A52}"/>
    <cellStyle name="Normal" xfId="0" builtinId="0"/>
    <cellStyle name="Normal 2" xfId="2" xr:uid="{36103F83-5CB2-4EE2-8646-91210584F657}"/>
    <cellStyle name="Normal 2 2" xfId="14" xr:uid="{83784613-C9DB-480E-9B17-FFEEDFA2551A}"/>
    <cellStyle name="Normal 2 2 2" xfId="8" xr:uid="{39B099FB-E752-4E67-AAAD-9ED070EEF3DA}"/>
    <cellStyle name="Normal 3 2" xfId="7" xr:uid="{D90B4BF7-436C-40BA-A3DB-BBCCE9E30A9A}"/>
    <cellStyle name="Normal 9" xfId="5" xr:uid="{557C089C-CFDC-45D8-B117-7CE5096F5F5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Hoja1!$D$6:$D$44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Hoja1!$E$6:$E$44</c:f>
              <c:numCache>
                <c:formatCode>0.00</c:formatCode>
                <c:ptCount val="39"/>
                <c:pt idx="0">
                  <c:v>21.605982190080006</c:v>
                </c:pt>
                <c:pt idx="1">
                  <c:v>21.866357378095241</c:v>
                </c:pt>
                <c:pt idx="2">
                  <c:v>18.360288930026666</c:v>
                </c:pt>
                <c:pt idx="3">
                  <c:v>20.177515130499998</c:v>
                </c:pt>
                <c:pt idx="4">
                  <c:v>15.245025637903332</c:v>
                </c:pt>
                <c:pt idx="5">
                  <c:v>14.358061656693334</c:v>
                </c:pt>
                <c:pt idx="6">
                  <c:v>13.280504013656671</c:v>
                </c:pt>
                <c:pt idx="7">
                  <c:v>19.268283871223332</c:v>
                </c:pt>
                <c:pt idx="8">
                  <c:v>12.939317133479999</c:v>
                </c:pt>
                <c:pt idx="9">
                  <c:v>13.254906687040002</c:v>
                </c:pt>
                <c:pt idx="10">
                  <c:v>12.651969918540001</c:v>
                </c:pt>
                <c:pt idx="11">
                  <c:v>20.431749739296666</c:v>
                </c:pt>
                <c:pt idx="12">
                  <c:v>16.820073888956667</c:v>
                </c:pt>
                <c:pt idx="13">
                  <c:v>16.602733799033334</c:v>
                </c:pt>
                <c:pt idx="14">
                  <c:v>13.809646066746</c:v>
                </c:pt>
                <c:pt idx="15">
                  <c:v>23.744347875039999</c:v>
                </c:pt>
                <c:pt idx="16">
                  <c:v>18.625019485660346</c:v>
                </c:pt>
                <c:pt idx="17">
                  <c:v>14.173012706192566</c:v>
                </c:pt>
                <c:pt idx="18">
                  <c:v>21.561218275598893</c:v>
                </c:pt>
                <c:pt idx="19">
                  <c:v>28.126541626652998</c:v>
                </c:pt>
                <c:pt idx="20">
                  <c:v>19.270698481148997</c:v>
                </c:pt>
                <c:pt idx="21">
                  <c:v>18.545891551484601</c:v>
                </c:pt>
                <c:pt idx="22">
                  <c:v>15.546589391475274</c:v>
                </c:pt>
                <c:pt idx="23">
                  <c:v>19.86254675182705</c:v>
                </c:pt>
                <c:pt idx="24">
                  <c:v>18.045832477239134</c:v>
                </c:pt>
                <c:pt idx="25">
                  <c:v>12.903305285696124</c:v>
                </c:pt>
                <c:pt idx="26">
                  <c:v>14.11723346376233</c:v>
                </c:pt>
                <c:pt idx="27">
                  <c:v>27.873264499442968</c:v>
                </c:pt>
                <c:pt idx="28">
                  <c:v>19.089729038665006</c:v>
                </c:pt>
                <c:pt idx="29">
                  <c:v>16.290001883974</c:v>
                </c:pt>
                <c:pt idx="30">
                  <c:v>22.393697376441001</c:v>
                </c:pt>
                <c:pt idx="31">
                  <c:v>39.058641876448</c:v>
                </c:pt>
                <c:pt idx="32">
                  <c:v>24.515700776429998</c:v>
                </c:pt>
                <c:pt idx="33">
                  <c:v>22.718181979702003</c:v>
                </c:pt>
                <c:pt idx="34">
                  <c:v>21.271382596950534</c:v>
                </c:pt>
                <c:pt idx="35">
                  <c:v>26.34756764437201</c:v>
                </c:pt>
                <c:pt idx="36">
                  <c:v>37.971683182306009</c:v>
                </c:pt>
                <c:pt idx="37">
                  <c:v>29.436466819989995</c:v>
                </c:pt>
                <c:pt idx="38">
                  <c:v>26.937464640067326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2-4865-BDA3-0427C2CEF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43135"/>
        <c:axId val="442826815"/>
      </c:scatterChart>
      <c:valAx>
        <c:axId val="44284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26815"/>
        <c:crosses val="autoZero"/>
        <c:crossBetween val="midCat"/>
      </c:valAx>
      <c:valAx>
        <c:axId val="44282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4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708005249343833E-2"/>
                  <c:y val="0.44364501312335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Hoja1!$I$96:$I$119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Hoja1!$J$96:$J$119</c:f>
              <c:numCache>
                <c:formatCode>#,##0.0</c:formatCode>
                <c:ptCount val="24"/>
                <c:pt idx="0">
                  <c:v>252.1632027293052</c:v>
                </c:pt>
                <c:pt idx="1">
                  <c:v>570.68554797411991</c:v>
                </c:pt>
                <c:pt idx="2">
                  <c:v>669.73231714984092</c:v>
                </c:pt>
                <c:pt idx="3">
                  <c:v>797.07046908475775</c:v>
                </c:pt>
                <c:pt idx="4">
                  <c:v>905.26654218311364</c:v>
                </c:pt>
                <c:pt idx="5">
                  <c:v>1107.3071785371305</c:v>
                </c:pt>
                <c:pt idx="6">
                  <c:v>1108.2660617507192</c:v>
                </c:pt>
                <c:pt idx="7">
                  <c:v>1193.9596368066186</c:v>
                </c:pt>
                <c:pt idx="8">
                  <c:v>1412.1872606605109</c:v>
                </c:pt>
                <c:pt idx="9">
                  <c:v>1538.6742155278691</c:v>
                </c:pt>
                <c:pt idx="10">
                  <c:v>1730.2728951223178</c:v>
                </c:pt>
                <c:pt idx="11">
                  <c:v>1923.2817627140519</c:v>
                </c:pt>
                <c:pt idx="12">
                  <c:v>2087.185303847546</c:v>
                </c:pt>
                <c:pt idx="13">
                  <c:v>2248.0758053275558</c:v>
                </c:pt>
                <c:pt idx="14">
                  <c:v>2437.6355819139667</c:v>
                </c:pt>
                <c:pt idx="15">
                  <c:v>2347.3153945260569</c:v>
                </c:pt>
                <c:pt idx="16">
                  <c:v>2344.4072560906679</c:v>
                </c:pt>
                <c:pt idx="17">
                  <c:v>2429.6325415393558</c:v>
                </c:pt>
                <c:pt idx="18">
                  <c:v>2567.002</c:v>
                </c:pt>
                <c:pt idx="19">
                  <c:v>2485.971</c:v>
                </c:pt>
                <c:pt idx="20">
                  <c:v>2310.192</c:v>
                </c:pt>
                <c:pt idx="21" formatCode="_ * #,##0.0_ ;_ * \-#,##0.0_ ;_ * &quot;-&quot;??_ ;_ @_ ">
                  <c:v>2310.1120000000001</c:v>
                </c:pt>
                <c:pt idx="22" formatCode="_ * #,##0.0_ ;_ * \-#,##0.0_ ;_ * &quot;-&quot;??_ ;_ @_ ">
                  <c:v>2483.2919999999999</c:v>
                </c:pt>
                <c:pt idx="23" formatCode="_ * #,##0.0_ ;_ * \-#,##0.0_ ;_ * &quot;-&quot;??_ ;_ @_ ">
                  <c:v>2469.6010000000001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49-4A29-ADF7-35D8D3106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0175"/>
        <c:axId val="442888735"/>
      </c:scatterChart>
      <c:valAx>
        <c:axId val="4428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88735"/>
        <c:crosses val="autoZero"/>
        <c:crossBetween val="midCat"/>
      </c:valAx>
      <c:valAx>
        <c:axId val="4428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8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342957130358705E-2"/>
                  <c:y val="0.43476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Hoja1!$I$127:$I$151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Hoja1!$J$127:$J$151</c:f>
              <c:numCache>
                <c:formatCode>0.00</c:formatCode>
                <c:ptCount val="25"/>
                <c:pt idx="0">
                  <c:v>17530.7</c:v>
                </c:pt>
                <c:pt idx="1">
                  <c:v>23127.1</c:v>
                </c:pt>
                <c:pt idx="2">
                  <c:v>27054.2</c:v>
                </c:pt>
                <c:pt idx="3">
                  <c:v>30965.200000000001</c:v>
                </c:pt>
                <c:pt idx="4">
                  <c:v>35194.9</c:v>
                </c:pt>
                <c:pt idx="5">
                  <c:v>40278.9</c:v>
                </c:pt>
                <c:pt idx="6">
                  <c:v>45690.8</c:v>
                </c:pt>
                <c:pt idx="7">
                  <c:v>49848.7</c:v>
                </c:pt>
                <c:pt idx="8">
                  <c:v>60095</c:v>
                </c:pt>
                <c:pt idx="9">
                  <c:v>61139.4</c:v>
                </c:pt>
                <c:pt idx="10">
                  <c:v>68151.3</c:v>
                </c:pt>
                <c:pt idx="11">
                  <c:v>78986.600000000006</c:v>
                </c:pt>
                <c:pt idx="12">
                  <c:v>87735</c:v>
                </c:pt>
                <c:pt idx="13">
                  <c:v>95865.5</c:v>
                </c:pt>
                <c:pt idx="14">
                  <c:v>96570.3</c:v>
                </c:pt>
                <c:pt idx="15">
                  <c:v>97209.600000000006</c:v>
                </c:pt>
                <c:pt idx="16">
                  <c:v>97671.4</c:v>
                </c:pt>
                <c:pt idx="17">
                  <c:v>102717.8</c:v>
                </c:pt>
                <c:pt idx="18">
                  <c:v>104467.5</c:v>
                </c:pt>
                <c:pt idx="19">
                  <c:v>107179.1</c:v>
                </c:pt>
                <c:pt idx="20">
                  <c:v>107479</c:v>
                </c:pt>
                <c:pt idx="21">
                  <c:v>107595.8</c:v>
                </c:pt>
                <c:pt idx="22">
                  <c:v>116133.1</c:v>
                </c:pt>
                <c:pt idx="23">
                  <c:v>121147.1</c:v>
                </c:pt>
                <c:pt idx="24">
                  <c:v>124676.1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4-46EA-B452-1ECFF0BE2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18783"/>
        <c:axId val="143216863"/>
      </c:scatterChart>
      <c:valAx>
        <c:axId val="14321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216863"/>
        <c:crosses val="autoZero"/>
        <c:crossBetween val="midCat"/>
      </c:valAx>
      <c:valAx>
        <c:axId val="1432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21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130314960629921E-2"/>
          <c:y val="0.1902314814814815"/>
          <c:w val="0.88380796150481189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522090988626422E-2"/>
                  <c:y val="0.3815022601341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Hoja1!$I$157:$I$165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Hoja1!$J$157:$J$165</c:f>
              <c:numCache>
                <c:formatCode>General</c:formatCode>
                <c:ptCount val="9"/>
                <c:pt idx="0">
                  <c:v>0.48399999999999999</c:v>
                </c:pt>
                <c:pt idx="1">
                  <c:v>0.43219000000000002</c:v>
                </c:pt>
                <c:pt idx="2">
                  <c:v>0.48685</c:v>
                </c:pt>
                <c:pt idx="3">
                  <c:v>0.50529000000000002</c:v>
                </c:pt>
                <c:pt idx="4">
                  <c:v>0.56254000000000004</c:v>
                </c:pt>
                <c:pt idx="5">
                  <c:v>0.6129</c:v>
                </c:pt>
                <c:pt idx="6">
                  <c:v>0.70150000000000001</c:v>
                </c:pt>
                <c:pt idx="7">
                  <c:v>0.68889999999999996</c:v>
                </c:pt>
                <c:pt idx="8">
                  <c:v>0.77997000000000005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0-4173-9690-CCE15257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36127"/>
        <c:axId val="792925567"/>
      </c:scatterChart>
      <c:valAx>
        <c:axId val="79293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925567"/>
        <c:crosses val="autoZero"/>
        <c:crossBetween val="midCat"/>
      </c:valAx>
      <c:valAx>
        <c:axId val="7929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93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3</xdr:row>
      <xdr:rowOff>185737</xdr:rowOff>
    </xdr:from>
    <xdr:to>
      <xdr:col>14</xdr:col>
      <xdr:colOff>238125</xdr:colOff>
      <xdr:row>18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DA621C-6CF3-3085-CFE0-7405B4FBD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671512</xdr:colOff>
      <xdr:row>95</xdr:row>
      <xdr:rowOff>61912</xdr:rowOff>
    </xdr:from>
    <xdr:to>
      <xdr:col>16</xdr:col>
      <xdr:colOff>633412</xdr:colOff>
      <xdr:row>109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B39A6B8-E97F-6E74-B58D-98337A0BA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114300</xdr:colOff>
      <xdr:row>123</xdr:row>
      <xdr:rowOff>130085</xdr:rowOff>
    </xdr:from>
    <xdr:to>
      <xdr:col>19</xdr:col>
      <xdr:colOff>543115</xdr:colOff>
      <xdr:row>125</xdr:row>
      <xdr:rowOff>57198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32F3389-9F1B-8A41-195B-0C032E76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7950" y="23571110"/>
          <a:ext cx="1190815" cy="308113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117</xdr:row>
      <xdr:rowOff>95250</xdr:rowOff>
    </xdr:from>
    <xdr:to>
      <xdr:col>17</xdr:col>
      <xdr:colOff>438474</xdr:colOff>
      <xdr:row>121</xdr:row>
      <xdr:rowOff>28672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66C61C4-8942-3A5E-47EA-8686749FE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5700" y="22393275"/>
          <a:ext cx="2324424" cy="695422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134</xdr:row>
      <xdr:rowOff>109537</xdr:rowOff>
    </xdr:from>
    <xdr:to>
      <xdr:col>18</xdr:col>
      <xdr:colOff>314325</xdr:colOff>
      <xdr:row>148</xdr:row>
      <xdr:rowOff>185737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66E59AC-46C1-2D34-C546-C2C65F9B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390525</xdr:colOff>
      <xdr:row>154</xdr:row>
      <xdr:rowOff>14287</xdr:rowOff>
    </xdr:from>
    <xdr:to>
      <xdr:col>18</xdr:col>
      <xdr:colOff>352425</xdr:colOff>
      <xdr:row>168</xdr:row>
      <xdr:rowOff>90487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922763E-4921-C44A-7452-BC1828D8E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7273-78D7-445A-B581-E6568667E57E}">
  <dimension ref="C3:AO174"/>
  <sheetViews>
    <sheetView tabSelected="1" topLeftCell="A127" zoomScaleNormal="100" workbookViewId="0">
      <selection activeCell="E153" sqref="E153"/>
    </sheetView>
  </sheetViews>
  <sheetFormatPr defaultColWidth="11.42578125" defaultRowHeight="15"/>
  <cols>
    <col min="6" max="6" width="14.5703125" bestFit="1" customWidth="1"/>
    <col min="13" max="13" width="12" customWidth="1"/>
    <col min="22" max="22" width="13.28515625" customWidth="1"/>
  </cols>
  <sheetData>
    <row r="3" spans="3:9">
      <c r="C3" s="34" t="s">
        <v>0</v>
      </c>
      <c r="D3" s="34"/>
      <c r="E3" s="34"/>
      <c r="F3" s="34"/>
    </row>
    <row r="4" spans="3:9">
      <c r="C4" s="1"/>
      <c r="I4" s="6"/>
    </row>
    <row r="5" spans="3:9">
      <c r="C5" s="3" t="s">
        <v>1</v>
      </c>
      <c r="D5" s="4" t="s">
        <v>2</v>
      </c>
      <c r="E5" s="4" t="s">
        <v>3</v>
      </c>
      <c r="F5" s="4" t="s">
        <v>4</v>
      </c>
      <c r="I5" s="6"/>
    </row>
    <row r="6" spans="3:9">
      <c r="C6" s="35">
        <v>2016</v>
      </c>
      <c r="D6" s="4">
        <v>1</v>
      </c>
      <c r="E6" s="5">
        <v>21.605982190080006</v>
      </c>
      <c r="F6" s="36">
        <v>82.010143628701911</v>
      </c>
      <c r="I6" s="6"/>
    </row>
    <row r="7" spans="3:9">
      <c r="C7" s="35"/>
      <c r="D7" s="4">
        <v>2</v>
      </c>
      <c r="E7" s="5">
        <v>21.866357378095241</v>
      </c>
      <c r="F7" s="36"/>
      <c r="G7" s="1"/>
      <c r="I7" s="6"/>
    </row>
    <row r="8" spans="3:9">
      <c r="C8" s="35"/>
      <c r="D8" s="4">
        <v>3</v>
      </c>
      <c r="E8" s="5">
        <v>18.360288930026666</v>
      </c>
      <c r="F8" s="36"/>
      <c r="I8" s="6"/>
    </row>
    <row r="9" spans="3:9">
      <c r="C9" s="35"/>
      <c r="D9" s="4">
        <v>4</v>
      </c>
      <c r="E9" s="5">
        <v>20.177515130499998</v>
      </c>
      <c r="F9" s="36"/>
      <c r="I9" s="6"/>
    </row>
    <row r="10" spans="3:9">
      <c r="C10" s="35">
        <v>2017</v>
      </c>
      <c r="D10" s="4">
        <v>5</v>
      </c>
      <c r="E10" s="5">
        <v>15.245025637903332</v>
      </c>
      <c r="F10" s="36">
        <v>62.151875179476669</v>
      </c>
      <c r="I10" s="6"/>
    </row>
    <row r="11" spans="3:9">
      <c r="C11" s="35"/>
      <c r="D11" s="4">
        <v>6</v>
      </c>
      <c r="E11" s="5">
        <v>14.358061656693334</v>
      </c>
      <c r="F11" s="36"/>
      <c r="I11" s="6"/>
    </row>
    <row r="12" spans="3:9">
      <c r="C12" s="35"/>
      <c r="D12" s="4">
        <v>7</v>
      </c>
      <c r="E12" s="5">
        <v>13.280504013656671</v>
      </c>
      <c r="F12" s="36"/>
      <c r="I12" s="6"/>
    </row>
    <row r="13" spans="3:9">
      <c r="C13" s="35"/>
      <c r="D13" s="4">
        <v>8</v>
      </c>
      <c r="E13" s="5">
        <v>19.268283871223332</v>
      </c>
      <c r="F13" s="36"/>
      <c r="I13" s="6"/>
    </row>
    <row r="14" spans="3:9">
      <c r="C14" s="35">
        <v>2018</v>
      </c>
      <c r="D14" s="4">
        <v>9</v>
      </c>
      <c r="E14" s="5">
        <v>12.939317133479999</v>
      </c>
      <c r="F14" s="36">
        <v>59.277943478356661</v>
      </c>
    </row>
    <row r="15" spans="3:9">
      <c r="C15" s="35"/>
      <c r="D15" s="4">
        <v>10</v>
      </c>
      <c r="E15" s="5">
        <v>13.254906687040002</v>
      </c>
      <c r="F15" s="36"/>
    </row>
    <row r="16" spans="3:9">
      <c r="C16" s="35"/>
      <c r="D16" s="4">
        <v>11</v>
      </c>
      <c r="E16" s="5">
        <v>12.651969918540001</v>
      </c>
      <c r="F16" s="36"/>
    </row>
    <row r="17" spans="3:6">
      <c r="C17" s="35"/>
      <c r="D17" s="4">
        <v>12</v>
      </c>
      <c r="E17" s="5">
        <v>20.431749739296666</v>
      </c>
      <c r="F17" s="36"/>
    </row>
    <row r="18" spans="3:6">
      <c r="C18" s="35">
        <v>2019</v>
      </c>
      <c r="D18" s="4">
        <v>13</v>
      </c>
      <c r="E18" s="5">
        <v>16.820073888956667</v>
      </c>
      <c r="F18" s="36">
        <v>70.976801629775991</v>
      </c>
    </row>
    <row r="19" spans="3:6">
      <c r="C19" s="35"/>
      <c r="D19" s="4">
        <v>14</v>
      </c>
      <c r="E19" s="5">
        <v>16.602733799033334</v>
      </c>
      <c r="F19" s="36"/>
    </row>
    <row r="20" spans="3:6">
      <c r="C20" s="35"/>
      <c r="D20" s="4">
        <v>15</v>
      </c>
      <c r="E20" s="5">
        <v>13.809646066746</v>
      </c>
      <c r="F20" s="36"/>
    </row>
    <row r="21" spans="3:6">
      <c r="C21" s="35"/>
      <c r="D21" s="4">
        <v>16</v>
      </c>
      <c r="E21" s="5">
        <v>23.744347875039999</v>
      </c>
      <c r="F21" s="36"/>
    </row>
    <row r="22" spans="3:6">
      <c r="C22" s="35">
        <v>2020</v>
      </c>
      <c r="D22" s="4">
        <v>17</v>
      </c>
      <c r="E22" s="5">
        <v>18.625019485660346</v>
      </c>
      <c r="F22" s="36">
        <v>82.485792094104795</v>
      </c>
    </row>
    <row r="23" spans="3:6">
      <c r="C23" s="35"/>
      <c r="D23" s="4">
        <v>18</v>
      </c>
      <c r="E23" s="5">
        <v>14.173012706192566</v>
      </c>
      <c r="F23" s="36"/>
    </row>
    <row r="24" spans="3:6">
      <c r="C24" s="35"/>
      <c r="D24" s="4">
        <v>19</v>
      </c>
      <c r="E24" s="5">
        <v>21.561218275598893</v>
      </c>
      <c r="F24" s="36"/>
    </row>
    <row r="25" spans="3:6">
      <c r="C25" s="35"/>
      <c r="D25" s="4">
        <v>20</v>
      </c>
      <c r="E25" s="5">
        <v>28.126541626652998</v>
      </c>
      <c r="F25" s="36"/>
    </row>
    <row r="26" spans="3:6">
      <c r="C26" s="35">
        <v>2021</v>
      </c>
      <c r="D26" s="4">
        <v>21</v>
      </c>
      <c r="E26" s="5">
        <v>19.270698481148997</v>
      </c>
      <c r="F26" s="36">
        <v>73.225726175935918</v>
      </c>
    </row>
    <row r="27" spans="3:6">
      <c r="C27" s="35"/>
      <c r="D27" s="4">
        <v>22</v>
      </c>
      <c r="E27" s="5">
        <v>18.545891551484601</v>
      </c>
      <c r="F27" s="36"/>
    </row>
    <row r="28" spans="3:6">
      <c r="C28" s="35"/>
      <c r="D28" s="4">
        <v>23</v>
      </c>
      <c r="E28" s="5">
        <v>15.546589391475274</v>
      </c>
      <c r="F28" s="36"/>
    </row>
    <row r="29" spans="3:6">
      <c r="C29" s="35"/>
      <c r="D29" s="4">
        <v>24</v>
      </c>
      <c r="E29" s="5">
        <v>19.86254675182705</v>
      </c>
      <c r="F29" s="36"/>
    </row>
    <row r="30" spans="3:6">
      <c r="C30" s="35">
        <v>2022</v>
      </c>
      <c r="D30" s="4">
        <v>25</v>
      </c>
      <c r="E30" s="5">
        <v>18.045832477239134</v>
      </c>
      <c r="F30" s="36">
        <v>72.939635726140594</v>
      </c>
    </row>
    <row r="31" spans="3:6">
      <c r="C31" s="35"/>
      <c r="D31" s="4">
        <v>26</v>
      </c>
      <c r="E31" s="5">
        <v>12.903305285696124</v>
      </c>
      <c r="F31" s="36"/>
    </row>
    <row r="32" spans="3:6">
      <c r="C32" s="35"/>
      <c r="D32" s="4">
        <v>27</v>
      </c>
      <c r="E32" s="5">
        <v>14.11723346376233</v>
      </c>
      <c r="F32" s="36"/>
    </row>
    <row r="33" spans="3:6">
      <c r="C33" s="35"/>
      <c r="D33" s="4">
        <v>28</v>
      </c>
      <c r="E33" s="5">
        <v>27.873264499442968</v>
      </c>
      <c r="F33" s="36"/>
    </row>
    <row r="34" spans="3:6">
      <c r="C34" s="35">
        <v>2023</v>
      </c>
      <c r="D34" s="4">
        <v>29</v>
      </c>
      <c r="E34" s="5">
        <v>19.089729038665006</v>
      </c>
      <c r="F34" s="36">
        <v>96.832070175528003</v>
      </c>
    </row>
    <row r="35" spans="3:6">
      <c r="C35" s="35"/>
      <c r="D35" s="4">
        <v>30</v>
      </c>
      <c r="E35" s="5">
        <v>16.290001883974</v>
      </c>
      <c r="F35" s="36"/>
    </row>
    <row r="36" spans="3:6">
      <c r="C36" s="35"/>
      <c r="D36" s="4">
        <v>31</v>
      </c>
      <c r="E36" s="5">
        <v>22.393697376441001</v>
      </c>
      <c r="F36" s="36"/>
    </row>
    <row r="37" spans="3:6">
      <c r="C37" s="35"/>
      <c r="D37" s="4">
        <v>32</v>
      </c>
      <c r="E37" s="5">
        <v>39.058641876448</v>
      </c>
      <c r="F37" s="36"/>
    </row>
    <row r="38" spans="3:6">
      <c r="C38" s="35">
        <v>2024</v>
      </c>
      <c r="D38" s="4">
        <v>33</v>
      </c>
      <c r="E38" s="5">
        <v>24.515700776429998</v>
      </c>
      <c r="F38" s="36">
        <v>94.852832997454541</v>
      </c>
    </row>
    <row r="39" spans="3:6">
      <c r="C39" s="35"/>
      <c r="D39" s="4">
        <v>34</v>
      </c>
      <c r="E39" s="5">
        <v>22.718181979702003</v>
      </c>
      <c r="F39" s="36"/>
    </row>
    <row r="40" spans="3:6">
      <c r="C40" s="35"/>
      <c r="D40" s="4">
        <v>35</v>
      </c>
      <c r="E40" s="5">
        <v>21.271382596950534</v>
      </c>
      <c r="F40" s="36"/>
    </row>
    <row r="41" spans="3:6">
      <c r="C41" s="35"/>
      <c r="D41" s="4">
        <v>36</v>
      </c>
      <c r="E41" s="5">
        <v>26.34756764437201</v>
      </c>
      <c r="F41" s="36"/>
    </row>
    <row r="42" spans="3:6">
      <c r="C42" s="35">
        <v>2025</v>
      </c>
      <c r="D42" s="4">
        <v>37</v>
      </c>
      <c r="E42" s="5">
        <v>37.971683182306009</v>
      </c>
      <c r="F42" s="36">
        <f>SUM(E42:E45)</f>
        <v>125.79415285648444</v>
      </c>
    </row>
    <row r="43" spans="3:6">
      <c r="C43" s="35"/>
      <c r="D43" s="4">
        <v>38</v>
      </c>
      <c r="E43" s="5">
        <v>29.436466819989995</v>
      </c>
      <c r="F43" s="37"/>
    </row>
    <row r="44" spans="3:6">
      <c r="C44" s="35"/>
      <c r="D44" s="4">
        <v>39</v>
      </c>
      <c r="E44" s="5">
        <v>26.937464640067326</v>
      </c>
      <c r="F44" s="37"/>
    </row>
    <row r="45" spans="3:6">
      <c r="C45" s="35"/>
      <c r="D45" s="4">
        <v>40</v>
      </c>
      <c r="E45" s="5">
        <f>AVERAGE(E42:E44)</f>
        <v>31.448538214121111</v>
      </c>
      <c r="F45" s="37"/>
    </row>
    <row r="48" spans="3:6">
      <c r="C48" s="34" t="s">
        <v>5</v>
      </c>
      <c r="D48" s="34"/>
      <c r="E48" s="34"/>
      <c r="F48" s="34"/>
    </row>
    <row r="50" spans="3:41">
      <c r="C50" s="3" t="s">
        <v>1</v>
      </c>
      <c r="D50" s="4" t="s">
        <v>2</v>
      </c>
      <c r="E50" s="4" t="s">
        <v>6</v>
      </c>
      <c r="F50" s="4" t="s">
        <v>7</v>
      </c>
    </row>
    <row r="51" spans="3:41" ht="15.75">
      <c r="C51" s="35">
        <v>2016</v>
      </c>
      <c r="D51" s="7">
        <v>1</v>
      </c>
      <c r="E51" s="5">
        <v>5270.4</v>
      </c>
      <c r="F51" s="36">
        <v>39.080500000000001</v>
      </c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spans="3:41" ht="15" customHeight="1">
      <c r="C52" s="35"/>
      <c r="D52" s="7">
        <v>2</v>
      </c>
      <c r="E52" s="5">
        <v>4025.1</v>
      </c>
      <c r="F52" s="37"/>
      <c r="H52" s="9"/>
      <c r="J52" s="10"/>
    </row>
    <row r="53" spans="3:41" ht="15" customHeight="1">
      <c r="C53" s="35"/>
      <c r="D53" s="7">
        <v>3</v>
      </c>
      <c r="E53" s="5">
        <v>26387.200000000001</v>
      </c>
      <c r="F53" s="37"/>
      <c r="H53" s="9"/>
      <c r="J53" s="10"/>
    </row>
    <row r="54" spans="3:41" ht="15" customHeight="1">
      <c r="C54" s="35"/>
      <c r="D54" s="7">
        <v>4</v>
      </c>
      <c r="E54" s="5">
        <v>3397.8</v>
      </c>
      <c r="F54" s="37"/>
      <c r="H54" s="9"/>
      <c r="J54" s="10"/>
    </row>
    <row r="55" spans="3:41" ht="15" customHeight="1">
      <c r="C55" s="35">
        <v>2017</v>
      </c>
      <c r="D55" s="7">
        <v>5</v>
      </c>
      <c r="E55" s="5">
        <v>3320.4</v>
      </c>
      <c r="F55" s="36">
        <v>47.210299999999997</v>
      </c>
      <c r="H55" s="9"/>
      <c r="J55" s="10"/>
    </row>
    <row r="56" spans="3:41" ht="15" customHeight="1">
      <c r="C56" s="35"/>
      <c r="D56" s="7">
        <v>6</v>
      </c>
      <c r="E56" s="5">
        <v>39580</v>
      </c>
      <c r="F56" s="37"/>
      <c r="H56" s="9"/>
      <c r="J56" s="10"/>
    </row>
    <row r="57" spans="3:41" ht="15" customHeight="1">
      <c r="C57" s="35"/>
      <c r="D57" s="7">
        <v>7</v>
      </c>
      <c r="E57" s="5">
        <v>3725.5</v>
      </c>
      <c r="F57" s="37"/>
      <c r="H57" s="9"/>
      <c r="J57" s="10"/>
    </row>
    <row r="58" spans="3:41" ht="15" customHeight="1">
      <c r="C58" s="35"/>
      <c r="D58" s="7">
        <v>8</v>
      </c>
      <c r="E58" s="5">
        <v>584.4</v>
      </c>
      <c r="F58" s="37"/>
      <c r="H58" s="9"/>
      <c r="J58" s="10"/>
    </row>
    <row r="59" spans="3:41" ht="15" customHeight="1">
      <c r="C59" s="35">
        <v>2018</v>
      </c>
      <c r="D59" s="7">
        <v>9</v>
      </c>
      <c r="E59" s="5">
        <v>4581.8</v>
      </c>
      <c r="F59" s="36">
        <v>52.829000000000001</v>
      </c>
      <c r="H59" s="9"/>
      <c r="J59" s="10"/>
    </row>
    <row r="60" spans="3:41" ht="15" customHeight="1">
      <c r="C60" s="35"/>
      <c r="D60" s="7">
        <v>10</v>
      </c>
      <c r="E60" s="5">
        <v>56296.9</v>
      </c>
      <c r="F60" s="37"/>
      <c r="H60" s="9"/>
      <c r="J60" s="10"/>
    </row>
    <row r="61" spans="3:41" ht="15" customHeight="1">
      <c r="C61" s="35"/>
      <c r="D61" s="7">
        <v>11</v>
      </c>
      <c r="E61" s="5">
        <v>-18357.400000000001</v>
      </c>
      <c r="F61" s="37"/>
      <c r="H61" s="9"/>
      <c r="J61" s="10"/>
    </row>
    <row r="62" spans="3:41" ht="15" customHeight="1">
      <c r="C62" s="35"/>
      <c r="D62" s="7">
        <v>12</v>
      </c>
      <c r="E62" s="5">
        <v>10307.700000000001</v>
      </c>
      <c r="F62" s="37"/>
      <c r="H62" s="9"/>
      <c r="J62" s="10"/>
    </row>
    <row r="63" spans="3:41" ht="15" customHeight="1">
      <c r="C63" s="35">
        <v>2019</v>
      </c>
      <c r="D63" s="7">
        <v>13</v>
      </c>
      <c r="E63" s="5">
        <v>3900.6</v>
      </c>
      <c r="F63" s="36">
        <v>98.8643</v>
      </c>
      <c r="H63" s="9"/>
      <c r="J63" s="10"/>
    </row>
    <row r="64" spans="3:41" ht="15" customHeight="1">
      <c r="C64" s="35"/>
      <c r="D64" s="7">
        <v>14</v>
      </c>
      <c r="E64" s="5">
        <v>31477.9</v>
      </c>
      <c r="F64" s="37"/>
      <c r="H64" s="9"/>
      <c r="J64" s="10"/>
    </row>
    <row r="65" spans="3:10" ht="15" customHeight="1">
      <c r="C65" s="35"/>
      <c r="D65" s="7">
        <v>15</v>
      </c>
      <c r="E65" s="5">
        <v>2771.9</v>
      </c>
      <c r="F65" s="37"/>
      <c r="H65" s="9"/>
      <c r="J65" s="10"/>
    </row>
    <row r="66" spans="3:10" ht="15" customHeight="1">
      <c r="C66" s="35"/>
      <c r="D66" s="7">
        <v>16</v>
      </c>
      <c r="E66" s="5">
        <v>60713.9</v>
      </c>
      <c r="F66" s="37"/>
      <c r="H66" s="9"/>
      <c r="J66" s="10"/>
    </row>
    <row r="67" spans="3:10" ht="15" customHeight="1">
      <c r="C67" s="35">
        <v>2020</v>
      </c>
      <c r="D67" s="7">
        <v>17</v>
      </c>
      <c r="E67" s="5">
        <v>15665.4</v>
      </c>
      <c r="F67" s="36">
        <v>3.5727000000000011</v>
      </c>
      <c r="H67" s="9"/>
      <c r="J67" s="10"/>
    </row>
    <row r="68" spans="3:10" ht="15" customHeight="1">
      <c r="C68" s="35"/>
      <c r="D68" s="7">
        <v>18</v>
      </c>
      <c r="E68" s="5">
        <v>1390.1</v>
      </c>
      <c r="F68" s="37"/>
      <c r="H68" s="9"/>
      <c r="J68" s="10"/>
    </row>
    <row r="69" spans="3:10" ht="15" customHeight="1">
      <c r="C69" s="35"/>
      <c r="D69" s="7">
        <v>19</v>
      </c>
      <c r="E69" s="5">
        <v>11852.7</v>
      </c>
      <c r="F69" s="37"/>
      <c r="H69" s="9"/>
      <c r="J69" s="10"/>
    </row>
    <row r="70" spans="3:10" ht="15" customHeight="1">
      <c r="C70" s="35"/>
      <c r="D70" s="7">
        <v>20</v>
      </c>
      <c r="E70" s="5">
        <v>-25335.5</v>
      </c>
      <c r="F70" s="37"/>
      <c r="H70" s="9"/>
      <c r="J70" s="10"/>
    </row>
    <row r="71" spans="3:10" ht="15" customHeight="1">
      <c r="C71" s="35">
        <v>2021</v>
      </c>
      <c r="D71" s="7">
        <v>21</v>
      </c>
      <c r="E71" s="5">
        <v>44377.2</v>
      </c>
      <c r="F71" s="36">
        <v>45.211599999999997</v>
      </c>
      <c r="H71" s="9"/>
      <c r="J71" s="10"/>
    </row>
    <row r="72" spans="3:10" ht="15" customHeight="1">
      <c r="C72" s="35"/>
      <c r="D72" s="7">
        <v>22</v>
      </c>
      <c r="E72" s="5">
        <v>-5617.4</v>
      </c>
      <c r="F72" s="37"/>
      <c r="H72" s="9"/>
      <c r="J72" s="10"/>
    </row>
    <row r="73" spans="3:10" ht="15" customHeight="1">
      <c r="C73" s="35"/>
      <c r="D73" s="7">
        <v>23</v>
      </c>
      <c r="E73" s="5">
        <v>5551.1</v>
      </c>
      <c r="F73" s="37"/>
      <c r="H73" s="9"/>
      <c r="J73" s="10"/>
    </row>
    <row r="74" spans="3:10" ht="15" customHeight="1">
      <c r="C74" s="35"/>
      <c r="D74" s="7">
        <v>24</v>
      </c>
      <c r="E74" s="5">
        <v>900.7</v>
      </c>
      <c r="F74" s="37"/>
      <c r="H74" s="9"/>
    </row>
    <row r="75" spans="3:10" ht="15" customHeight="1">
      <c r="C75" s="35">
        <v>2022</v>
      </c>
      <c r="D75" s="7">
        <v>25</v>
      </c>
      <c r="E75" s="5">
        <v>15455.4</v>
      </c>
      <c r="F75" s="36">
        <v>18.030199999999997</v>
      </c>
      <c r="H75" s="9"/>
    </row>
    <row r="76" spans="3:10" ht="15" customHeight="1">
      <c r="C76" s="35"/>
      <c r="D76" s="7">
        <v>26</v>
      </c>
      <c r="E76" s="5">
        <v>25482.2</v>
      </c>
      <c r="F76" s="37"/>
      <c r="H76" s="9"/>
    </row>
    <row r="77" spans="3:10" ht="15" customHeight="1">
      <c r="C77" s="35"/>
      <c r="D77" s="7">
        <v>27</v>
      </c>
      <c r="E77" s="5">
        <v>2667</v>
      </c>
      <c r="F77" s="37"/>
      <c r="H77" s="9"/>
    </row>
    <row r="78" spans="3:10" ht="15" customHeight="1">
      <c r="C78" s="35"/>
      <c r="D78" s="7">
        <v>28</v>
      </c>
      <c r="E78" s="5">
        <v>-25574.400000000001</v>
      </c>
      <c r="F78" s="37"/>
      <c r="H78" s="9"/>
    </row>
    <row r="79" spans="3:10" ht="15" customHeight="1">
      <c r="C79" s="35">
        <v>2023</v>
      </c>
      <c r="D79" s="7">
        <v>29</v>
      </c>
      <c r="E79" s="5">
        <v>15327.8</v>
      </c>
      <c r="F79" s="36">
        <v>37.959400000000002</v>
      </c>
      <c r="H79" s="9"/>
    </row>
    <row r="80" spans="3:10" ht="15" customHeight="1">
      <c r="C80" s="35"/>
      <c r="D80" s="7">
        <v>30</v>
      </c>
      <c r="E80" s="5">
        <v>8262.7000000000007</v>
      </c>
      <c r="F80" s="37"/>
      <c r="H80" s="9"/>
    </row>
    <row r="81" spans="3:10" ht="15" customHeight="1">
      <c r="C81" s="35"/>
      <c r="D81" s="7">
        <v>31</v>
      </c>
      <c r="E81" s="5">
        <v>9671.1</v>
      </c>
      <c r="F81" s="37"/>
      <c r="H81" s="9"/>
    </row>
    <row r="82" spans="3:10" ht="15" customHeight="1">
      <c r="C82" s="35"/>
      <c r="D82" s="7">
        <v>32</v>
      </c>
      <c r="E82" s="5">
        <v>4697.8</v>
      </c>
      <c r="F82" s="37"/>
      <c r="H82" s="9"/>
    </row>
    <row r="83" spans="3:10" ht="15" customHeight="1">
      <c r="C83" s="35">
        <v>2024</v>
      </c>
      <c r="D83" s="7">
        <v>33</v>
      </c>
      <c r="E83" s="5">
        <v>23843.200000000001</v>
      </c>
      <c r="F83" s="36">
        <v>103.69119999999999</v>
      </c>
      <c r="H83" s="9"/>
    </row>
    <row r="84" spans="3:10" ht="15" customHeight="1">
      <c r="C84" s="35"/>
      <c r="D84" s="7">
        <v>34</v>
      </c>
      <c r="E84" s="5">
        <v>8086.8</v>
      </c>
      <c r="F84" s="37"/>
      <c r="H84" s="9"/>
    </row>
    <row r="85" spans="3:10" ht="15" customHeight="1">
      <c r="C85" s="35"/>
      <c r="D85" s="7">
        <v>35</v>
      </c>
      <c r="E85" s="5">
        <v>55186.5</v>
      </c>
      <c r="F85" s="37"/>
      <c r="H85" s="9"/>
    </row>
    <row r="86" spans="3:10" ht="15" customHeight="1">
      <c r="C86" s="35"/>
      <c r="D86" s="7">
        <v>36</v>
      </c>
      <c r="E86" s="5">
        <v>16574.7</v>
      </c>
      <c r="F86" s="37"/>
      <c r="H86" s="9"/>
    </row>
    <row r="87" spans="3:10" ht="15" customHeight="1">
      <c r="C87" s="35">
        <v>2025</v>
      </c>
      <c r="D87" s="7">
        <v>37</v>
      </c>
      <c r="E87" s="5">
        <v>2248</v>
      </c>
      <c r="F87" s="36">
        <v>26.615200000000002</v>
      </c>
      <c r="H87" s="9"/>
    </row>
    <row r="88" spans="3:10" ht="15" customHeight="1">
      <c r="C88" s="35"/>
      <c r="D88" s="7">
        <v>38</v>
      </c>
      <c r="E88" s="5">
        <v>3989.5</v>
      </c>
      <c r="F88" s="37"/>
      <c r="H88" s="9"/>
    </row>
    <row r="89" spans="3:10" ht="15" customHeight="1">
      <c r="C89" s="35"/>
      <c r="D89" s="7">
        <v>39</v>
      </c>
      <c r="E89" s="5">
        <v>13723.9</v>
      </c>
      <c r="F89" s="37"/>
      <c r="H89" s="9"/>
    </row>
    <row r="90" spans="3:10" ht="15" customHeight="1">
      <c r="C90" s="35"/>
      <c r="D90" s="7">
        <v>40</v>
      </c>
      <c r="E90" s="5">
        <f>AVERAGE(E87:E89)</f>
        <v>6653.8</v>
      </c>
      <c r="F90" s="37"/>
      <c r="H90" s="9"/>
    </row>
    <row r="93" spans="3:10">
      <c r="C93" s="40" t="s">
        <v>8</v>
      </c>
      <c r="D93" s="40"/>
      <c r="E93" s="40"/>
      <c r="F93" s="40"/>
    </row>
    <row r="95" spans="3:10">
      <c r="D95" s="3" t="s">
        <v>1</v>
      </c>
      <c r="E95" s="3" t="s">
        <v>9</v>
      </c>
      <c r="I95" s="12" t="s">
        <v>10</v>
      </c>
      <c r="J95" s="12" t="s">
        <v>11</v>
      </c>
    </row>
    <row r="96" spans="3:10">
      <c r="D96" s="4">
        <v>2000</v>
      </c>
      <c r="E96" s="5">
        <v>252.1632027293052</v>
      </c>
      <c r="I96" s="2">
        <v>1</v>
      </c>
      <c r="J96" s="13">
        <v>252.1632027293052</v>
      </c>
    </row>
    <row r="97" spans="4:10">
      <c r="D97" s="4">
        <v>2001</v>
      </c>
      <c r="E97" s="5">
        <v>570.68554797411991</v>
      </c>
      <c r="I97" s="2">
        <v>2</v>
      </c>
      <c r="J97" s="14">
        <v>570.68554797411991</v>
      </c>
    </row>
    <row r="98" spans="4:10">
      <c r="D98" s="4">
        <v>2002</v>
      </c>
      <c r="E98" s="5">
        <v>669.73231714984092</v>
      </c>
      <c r="I98" s="2">
        <v>3</v>
      </c>
      <c r="J98" s="14">
        <v>669.73231714984092</v>
      </c>
    </row>
    <row r="99" spans="4:10">
      <c r="D99" s="4">
        <v>2003</v>
      </c>
      <c r="E99" s="5">
        <v>797.07046908475775</v>
      </c>
      <c r="I99" s="2">
        <v>4</v>
      </c>
      <c r="J99" s="14">
        <v>797.07046908475775</v>
      </c>
    </row>
    <row r="100" spans="4:10">
      <c r="D100" s="4">
        <v>2004</v>
      </c>
      <c r="E100" s="5">
        <v>905.26654218311364</v>
      </c>
      <c r="I100" s="2">
        <v>5</v>
      </c>
      <c r="J100" s="14">
        <v>905.26654218311364</v>
      </c>
    </row>
    <row r="101" spans="4:10">
      <c r="D101" s="4">
        <v>2005</v>
      </c>
      <c r="E101" s="5">
        <v>1107.3071785371305</v>
      </c>
      <c r="I101" s="2">
        <v>6</v>
      </c>
      <c r="J101" s="14">
        <v>1107.3071785371305</v>
      </c>
    </row>
    <row r="102" spans="4:10">
      <c r="D102" s="4">
        <v>2006</v>
      </c>
      <c r="E102" s="5">
        <v>1108.2660617507192</v>
      </c>
      <c r="I102" s="2">
        <v>7</v>
      </c>
      <c r="J102" s="14">
        <v>1108.2660617507192</v>
      </c>
    </row>
    <row r="103" spans="4:10">
      <c r="D103" s="4">
        <v>2007</v>
      </c>
      <c r="E103" s="5">
        <v>1193.9596368066186</v>
      </c>
      <c r="I103" s="2">
        <v>8</v>
      </c>
      <c r="J103" s="14">
        <v>1193.9596368066186</v>
      </c>
    </row>
    <row r="104" spans="4:10">
      <c r="D104" s="4">
        <v>2008</v>
      </c>
      <c r="E104" s="5">
        <v>1412.1872606605109</v>
      </c>
      <c r="I104" s="2">
        <v>9</v>
      </c>
      <c r="J104" s="14">
        <v>1412.1872606605109</v>
      </c>
    </row>
    <row r="105" spans="4:10">
      <c r="D105" s="4">
        <v>2009</v>
      </c>
      <c r="E105" s="5">
        <v>1538.6742155278691</v>
      </c>
      <c r="I105" s="2">
        <v>10</v>
      </c>
      <c r="J105" s="14">
        <v>1538.6742155278691</v>
      </c>
    </row>
    <row r="106" spans="4:10">
      <c r="D106" s="4">
        <v>2010</v>
      </c>
      <c r="E106" s="5">
        <v>1730.2728951223178</v>
      </c>
      <c r="I106" s="2">
        <v>11</v>
      </c>
      <c r="J106" s="14">
        <v>1730.2728951223178</v>
      </c>
    </row>
    <row r="107" spans="4:10">
      <c r="D107" s="4">
        <v>2011</v>
      </c>
      <c r="E107" s="5">
        <v>1923.2817627140519</v>
      </c>
      <c r="I107" s="2">
        <v>12</v>
      </c>
      <c r="J107" s="14">
        <v>1923.2817627140519</v>
      </c>
    </row>
    <row r="108" spans="4:10">
      <c r="D108" s="4">
        <v>2012</v>
      </c>
      <c r="E108" s="5">
        <v>2087.185303847546</v>
      </c>
      <c r="I108" s="2">
        <v>13</v>
      </c>
      <c r="J108" s="14">
        <v>2087.185303847546</v>
      </c>
    </row>
    <row r="109" spans="4:10">
      <c r="D109" s="4">
        <v>2013</v>
      </c>
      <c r="E109" s="5">
        <v>2248.0758053275558</v>
      </c>
      <c r="I109" s="2">
        <v>14</v>
      </c>
      <c r="J109" s="14">
        <v>2248.0758053275558</v>
      </c>
    </row>
    <row r="110" spans="4:10">
      <c r="D110" s="4">
        <v>2014</v>
      </c>
      <c r="E110" s="5">
        <v>2437.6355819139667</v>
      </c>
      <c r="I110" s="2">
        <v>15</v>
      </c>
      <c r="J110" s="14">
        <v>2437.6355819139667</v>
      </c>
    </row>
    <row r="111" spans="4:10">
      <c r="D111" s="4">
        <v>2015</v>
      </c>
      <c r="E111" s="5">
        <v>2347.3153945260569</v>
      </c>
      <c r="I111" s="2">
        <v>16</v>
      </c>
      <c r="J111" s="14">
        <v>2347.3153945260569</v>
      </c>
    </row>
    <row r="112" spans="4:10">
      <c r="D112" s="4">
        <v>2016</v>
      </c>
      <c r="E112" s="5">
        <v>2344.4072560906679</v>
      </c>
      <c r="I112" s="2">
        <v>17</v>
      </c>
      <c r="J112" s="14">
        <v>2344.4072560906679</v>
      </c>
    </row>
    <row r="113" spans="3:17">
      <c r="D113" s="4">
        <v>2017</v>
      </c>
      <c r="E113" s="5">
        <v>2429.6325415393558</v>
      </c>
      <c r="I113" s="2">
        <v>18</v>
      </c>
      <c r="J113" s="14">
        <v>2429.6325415393558</v>
      </c>
    </row>
    <row r="114" spans="3:17">
      <c r="D114" s="4">
        <v>2018</v>
      </c>
      <c r="E114" s="5">
        <v>2567.002</v>
      </c>
      <c r="I114" s="2">
        <v>19</v>
      </c>
      <c r="J114" s="14">
        <v>2567.002</v>
      </c>
    </row>
    <row r="115" spans="3:17">
      <c r="D115" s="4">
        <v>2019</v>
      </c>
      <c r="E115" s="5">
        <v>2485.971</v>
      </c>
      <c r="I115" s="2">
        <v>20</v>
      </c>
      <c r="J115" s="14">
        <v>2485.971</v>
      </c>
      <c r="M115" t="s">
        <v>12</v>
      </c>
    </row>
    <row r="116" spans="3:17">
      <c r="D116" s="4">
        <v>2020</v>
      </c>
      <c r="E116" s="5">
        <v>2310.192</v>
      </c>
      <c r="I116" s="2">
        <v>21</v>
      </c>
      <c r="J116" s="14">
        <v>2310.192</v>
      </c>
      <c r="M116" t="s">
        <v>13</v>
      </c>
    </row>
    <row r="117" spans="3:17">
      <c r="D117" s="4">
        <v>2021</v>
      </c>
      <c r="E117" s="5">
        <v>2310.1120000000001</v>
      </c>
      <c r="I117" s="2">
        <v>22</v>
      </c>
      <c r="J117" s="11">
        <v>2310.1120000000001</v>
      </c>
      <c r="M117">
        <f>(99.3*25)+497.47</f>
        <v>2979.9700000000003</v>
      </c>
    </row>
    <row r="118" spans="3:17">
      <c r="D118" s="4">
        <v>2022</v>
      </c>
      <c r="E118" s="5">
        <v>2483.2919999999999</v>
      </c>
      <c r="I118" s="2">
        <v>23</v>
      </c>
      <c r="J118" s="11">
        <v>2483.2919999999999</v>
      </c>
    </row>
    <row r="119" spans="3:17">
      <c r="D119" s="4">
        <v>2023</v>
      </c>
      <c r="E119" s="5">
        <v>2469.6010000000001</v>
      </c>
      <c r="I119" s="2">
        <v>24</v>
      </c>
      <c r="J119" s="11">
        <v>2469.6010000000001</v>
      </c>
      <c r="M119" t="s">
        <v>14</v>
      </c>
    </row>
    <row r="120" spans="3:17">
      <c r="D120" s="4">
        <v>2024</v>
      </c>
      <c r="E120" s="5">
        <v>2979.27</v>
      </c>
      <c r="M120">
        <f>(99.3*26)+497.47</f>
        <v>3079.2699999999995</v>
      </c>
    </row>
    <row r="121" spans="3:17">
      <c r="D121" s="4">
        <v>2025</v>
      </c>
      <c r="E121" s="5">
        <v>3079.27</v>
      </c>
    </row>
    <row r="124" spans="3:17">
      <c r="C124" s="40" t="s">
        <v>15</v>
      </c>
      <c r="D124" s="40"/>
      <c r="E124" s="40"/>
      <c r="F124" s="40"/>
      <c r="N124" s="38" t="s">
        <v>15</v>
      </c>
      <c r="O124" s="39"/>
      <c r="P124" s="21" t="s">
        <v>16</v>
      </c>
    </row>
    <row r="125" spans="3:17">
      <c r="N125" s="19"/>
      <c r="P125" s="22"/>
    </row>
    <row r="126" spans="3:17">
      <c r="D126" s="3" t="s">
        <v>1</v>
      </c>
      <c r="E126" s="4" t="s">
        <v>17</v>
      </c>
      <c r="I126" s="12" t="s">
        <v>10</v>
      </c>
      <c r="J126" s="2" t="s">
        <v>11</v>
      </c>
      <c r="N126" s="20">
        <v>2025</v>
      </c>
      <c r="O126" s="30">
        <f>N152</f>
        <v>135582.39999999999</v>
      </c>
      <c r="P126" s="28">
        <f>(F42+F87+E121)/O126</f>
        <v>2.383553730319337E-2</v>
      </c>
      <c r="Q126">
        <f>P126*E152</f>
        <v>3075.2133517834022</v>
      </c>
    </row>
    <row r="127" spans="3:17">
      <c r="D127" s="4">
        <v>2000</v>
      </c>
      <c r="E127" s="5">
        <v>17530.7</v>
      </c>
      <c r="I127" s="2">
        <v>1</v>
      </c>
      <c r="J127" s="17">
        <v>17530.7</v>
      </c>
      <c r="N127" s="20">
        <v>2024</v>
      </c>
      <c r="O127" s="30">
        <v>124676.1</v>
      </c>
      <c r="P127" s="28">
        <f>(F38+F83+E120)/O127</f>
        <v>2.5488558216029009E-2</v>
      </c>
    </row>
    <row r="128" spans="3:17">
      <c r="D128" s="4">
        <v>2001</v>
      </c>
      <c r="E128" s="5">
        <v>23127.1</v>
      </c>
      <c r="I128" s="2">
        <v>2</v>
      </c>
      <c r="J128" s="16">
        <v>23127.1</v>
      </c>
      <c r="N128" s="20">
        <v>2023</v>
      </c>
      <c r="O128" s="30">
        <v>121147.057</v>
      </c>
      <c r="P128" s="28">
        <f>(F34+F79+E119)/O128</f>
        <v>2.1497777450553569E-2</v>
      </c>
    </row>
    <row r="129" spans="4:16">
      <c r="D129" s="4">
        <v>2002</v>
      </c>
      <c r="E129" s="5">
        <v>27054.2</v>
      </c>
      <c r="I129" s="2">
        <v>3</v>
      </c>
      <c r="J129" s="16">
        <v>27054.2</v>
      </c>
      <c r="N129" s="20">
        <v>2022</v>
      </c>
      <c r="O129" s="30">
        <v>116133.121</v>
      </c>
      <c r="P129" s="28">
        <f>(F30+F75+E118)/O129</f>
        <v>2.2166474245759231E-2</v>
      </c>
    </row>
    <row r="130" spans="4:16">
      <c r="D130" s="4">
        <v>2003</v>
      </c>
      <c r="E130" s="5">
        <v>30965.200000000001</v>
      </c>
      <c r="I130" s="2">
        <v>4</v>
      </c>
      <c r="J130" s="16">
        <v>30965.200000000001</v>
      </c>
      <c r="N130" s="20">
        <v>2021</v>
      </c>
      <c r="O130" s="30">
        <v>107595.8</v>
      </c>
      <c r="P130" s="28">
        <f>(F26+F71+E117)/O130</f>
        <v>2.2571042049744843E-2</v>
      </c>
    </row>
    <row r="131" spans="4:16">
      <c r="D131" s="4">
        <v>2004</v>
      </c>
      <c r="E131" s="5">
        <v>35194.9</v>
      </c>
      <c r="I131" s="2">
        <v>5</v>
      </c>
      <c r="J131" s="16">
        <v>35194.9</v>
      </c>
      <c r="N131" s="27">
        <v>2020</v>
      </c>
      <c r="O131" s="31">
        <v>107479</v>
      </c>
      <c r="P131" s="29">
        <f>(F22+F67+E116)/O131</f>
        <v>2.2295057565609139E-2</v>
      </c>
    </row>
    <row r="132" spans="4:16">
      <c r="D132" s="4">
        <v>2005</v>
      </c>
      <c r="E132" s="5">
        <v>40278.9</v>
      </c>
      <c r="I132" s="2">
        <v>6</v>
      </c>
      <c r="J132" s="16">
        <v>40278.9</v>
      </c>
    </row>
    <row r="133" spans="4:16">
      <c r="D133" s="4">
        <v>2006</v>
      </c>
      <c r="E133" s="5">
        <v>45690.8</v>
      </c>
      <c r="I133" s="2">
        <v>7</v>
      </c>
      <c r="J133" s="16">
        <v>45690.8</v>
      </c>
    </row>
    <row r="134" spans="4:16">
      <c r="D134" s="4">
        <v>2007</v>
      </c>
      <c r="E134" s="5">
        <v>49848.7</v>
      </c>
      <c r="I134" s="2">
        <v>8</v>
      </c>
      <c r="J134" s="16">
        <v>49848.7</v>
      </c>
    </row>
    <row r="135" spans="4:16">
      <c r="D135" s="4">
        <v>2008</v>
      </c>
      <c r="E135" s="5">
        <v>60095</v>
      </c>
      <c r="I135" s="2">
        <v>9</v>
      </c>
      <c r="J135" s="16">
        <v>60095</v>
      </c>
    </row>
    <row r="136" spans="4:16">
      <c r="D136" s="4">
        <v>2009</v>
      </c>
      <c r="E136" s="5">
        <v>61139.4</v>
      </c>
      <c r="I136" s="2">
        <v>10</v>
      </c>
      <c r="J136" s="16">
        <v>61139.4</v>
      </c>
    </row>
    <row r="137" spans="4:16">
      <c r="D137" s="4">
        <v>2010</v>
      </c>
      <c r="E137" s="5">
        <v>68151.3</v>
      </c>
      <c r="I137" s="2">
        <v>11</v>
      </c>
      <c r="J137" s="16">
        <v>68151.3</v>
      </c>
    </row>
    <row r="138" spans="4:16">
      <c r="D138" s="4">
        <v>2011</v>
      </c>
      <c r="E138" s="5">
        <v>78986.600000000006</v>
      </c>
      <c r="I138" s="2">
        <v>12</v>
      </c>
      <c r="J138" s="16">
        <v>78986.600000000006</v>
      </c>
    </row>
    <row r="139" spans="4:16">
      <c r="D139" s="4">
        <v>2012</v>
      </c>
      <c r="E139" s="5">
        <v>87735</v>
      </c>
      <c r="I139" s="2">
        <v>13</v>
      </c>
      <c r="J139" s="16">
        <v>87735</v>
      </c>
    </row>
    <row r="140" spans="4:16">
      <c r="D140" s="4">
        <v>2013</v>
      </c>
      <c r="E140" s="5">
        <v>95865.5</v>
      </c>
      <c r="I140" s="2">
        <v>14</v>
      </c>
      <c r="J140" s="16">
        <v>95865.5</v>
      </c>
    </row>
    <row r="141" spans="4:16">
      <c r="D141" s="4">
        <v>2014</v>
      </c>
      <c r="E141" s="5">
        <v>96570.3</v>
      </c>
      <c r="I141" s="2">
        <v>15</v>
      </c>
      <c r="J141" s="16">
        <v>96570.3</v>
      </c>
    </row>
    <row r="142" spans="4:16">
      <c r="D142" s="4">
        <v>2015</v>
      </c>
      <c r="E142" s="5">
        <v>97209.600000000006</v>
      </c>
      <c r="I142" s="2">
        <v>16</v>
      </c>
      <c r="J142" s="16">
        <v>97209.600000000006</v>
      </c>
    </row>
    <row r="143" spans="4:16">
      <c r="D143" s="4">
        <v>2016</v>
      </c>
      <c r="E143" s="5">
        <v>97671.4</v>
      </c>
      <c r="I143" s="2">
        <v>17</v>
      </c>
      <c r="J143" s="16">
        <v>97671.4</v>
      </c>
    </row>
    <row r="144" spans="4:16">
      <c r="D144" s="4">
        <v>2017</v>
      </c>
      <c r="E144" s="5">
        <v>102717.8</v>
      </c>
      <c r="I144" s="2">
        <v>18</v>
      </c>
      <c r="J144" s="16">
        <v>102717.8</v>
      </c>
    </row>
    <row r="145" spans="3:19">
      <c r="D145" s="4">
        <v>2018</v>
      </c>
      <c r="E145" s="5">
        <v>104467.5</v>
      </c>
      <c r="I145" s="2">
        <v>19</v>
      </c>
      <c r="J145" s="16">
        <v>104467.5</v>
      </c>
    </row>
    <row r="146" spans="3:19">
      <c r="D146" s="4">
        <v>2019</v>
      </c>
      <c r="E146" s="5">
        <v>107179.1</v>
      </c>
      <c r="I146" s="2">
        <v>20</v>
      </c>
      <c r="J146" s="16">
        <v>107179.1</v>
      </c>
    </row>
    <row r="147" spans="3:19">
      <c r="D147" s="4">
        <v>2020</v>
      </c>
      <c r="E147" s="5">
        <v>107479</v>
      </c>
      <c r="I147" s="2">
        <v>21</v>
      </c>
      <c r="J147" s="16">
        <v>107479</v>
      </c>
    </row>
    <row r="148" spans="3:19">
      <c r="D148" s="4">
        <v>2021</v>
      </c>
      <c r="E148" s="5">
        <v>107595.8</v>
      </c>
      <c r="I148" s="2">
        <v>22</v>
      </c>
      <c r="J148" s="16">
        <v>107595.8</v>
      </c>
    </row>
    <row r="149" spans="3:19">
      <c r="D149" s="4">
        <v>2022</v>
      </c>
      <c r="E149" s="5">
        <v>116133.1</v>
      </c>
      <c r="I149" s="2">
        <v>23</v>
      </c>
      <c r="J149" s="16">
        <v>116133.1</v>
      </c>
    </row>
    <row r="150" spans="3:19">
      <c r="D150" s="4">
        <v>2023</v>
      </c>
      <c r="E150" s="5">
        <v>121147.1</v>
      </c>
      <c r="I150" s="2">
        <v>24</v>
      </c>
      <c r="J150" s="16">
        <v>121147.1</v>
      </c>
    </row>
    <row r="151" spans="3:19">
      <c r="D151" s="4">
        <v>2024</v>
      </c>
      <c r="E151" s="5">
        <v>124676.1</v>
      </c>
      <c r="I151" s="2">
        <v>25</v>
      </c>
      <c r="J151" s="16">
        <v>124676.1</v>
      </c>
    </row>
    <row r="152" spans="3:19">
      <c r="D152" s="4">
        <v>2025</v>
      </c>
      <c r="E152" s="4">
        <v>129018</v>
      </c>
      <c r="I152" s="2">
        <v>26</v>
      </c>
      <c r="J152" s="20">
        <f>(4569.4*26)+16778</f>
        <v>135582.39999999999</v>
      </c>
      <c r="M152" s="18" t="s">
        <v>18</v>
      </c>
      <c r="N152" s="15">
        <f>(4569.4*26)+16778</f>
        <v>135582.39999999999</v>
      </c>
    </row>
    <row r="154" spans="3:19"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</row>
    <row r="156" spans="3:19">
      <c r="C156" s="33" t="s">
        <v>19</v>
      </c>
      <c r="D156" s="33"/>
      <c r="E156" s="33"/>
      <c r="F156" s="33"/>
      <c r="I156" s="2" t="s">
        <v>10</v>
      </c>
      <c r="J156" s="2" t="s">
        <v>11</v>
      </c>
    </row>
    <row r="157" spans="3:19">
      <c r="D157" s="3" t="s">
        <v>1</v>
      </c>
      <c r="E157" s="4" t="s">
        <v>19</v>
      </c>
      <c r="I157" s="2">
        <v>1</v>
      </c>
      <c r="J157" s="2">
        <v>0.48399999999999999</v>
      </c>
    </row>
    <row r="158" spans="3:19">
      <c r="D158" s="4">
        <v>2008</v>
      </c>
      <c r="E158" s="4" t="s">
        <v>20</v>
      </c>
      <c r="I158" s="2">
        <v>2</v>
      </c>
      <c r="J158" s="2">
        <v>0.43219000000000002</v>
      </c>
    </row>
    <row r="159" spans="3:19">
      <c r="D159" s="4">
        <v>2010</v>
      </c>
      <c r="E159" s="4" t="s">
        <v>21</v>
      </c>
      <c r="I159" s="2">
        <v>3</v>
      </c>
      <c r="J159" s="2">
        <v>0.48685</v>
      </c>
    </row>
    <row r="160" spans="3:19">
      <c r="D160" s="4">
        <v>2012</v>
      </c>
      <c r="E160" s="4" t="s">
        <v>22</v>
      </c>
      <c r="I160" s="2">
        <v>4</v>
      </c>
      <c r="J160" s="2">
        <v>0.50529000000000002</v>
      </c>
    </row>
    <row r="161" spans="4:17">
      <c r="D161" s="4">
        <v>2014</v>
      </c>
      <c r="E161" s="4" t="s">
        <v>23</v>
      </c>
      <c r="I161" s="2">
        <v>5</v>
      </c>
      <c r="J161" s="2">
        <v>0.56254000000000004</v>
      </c>
    </row>
    <row r="162" spans="4:17">
      <c r="D162" s="4">
        <v>2016</v>
      </c>
      <c r="E162" s="4" t="s">
        <v>24</v>
      </c>
      <c r="I162" s="2">
        <v>6</v>
      </c>
      <c r="J162" s="2">
        <v>0.6129</v>
      </c>
    </row>
    <row r="163" spans="4:17">
      <c r="D163" s="4">
        <v>2018</v>
      </c>
      <c r="E163" s="4" t="s">
        <v>25</v>
      </c>
      <c r="I163" s="2">
        <v>7</v>
      </c>
      <c r="J163" s="2">
        <v>0.70150000000000001</v>
      </c>
    </row>
    <row r="164" spans="4:17">
      <c r="D164" s="4">
        <v>2020</v>
      </c>
      <c r="E164" s="4" t="s">
        <v>26</v>
      </c>
      <c r="I164" s="2">
        <v>8</v>
      </c>
      <c r="J164" s="2">
        <v>0.68889999999999996</v>
      </c>
    </row>
    <row r="165" spans="4:17">
      <c r="D165" s="4">
        <v>2022</v>
      </c>
      <c r="E165" s="4" t="s">
        <v>27</v>
      </c>
      <c r="I165" s="2">
        <v>9</v>
      </c>
      <c r="J165" s="2">
        <v>0.77997000000000005</v>
      </c>
    </row>
    <row r="166" spans="4:17">
      <c r="D166" s="4">
        <v>2024</v>
      </c>
      <c r="E166" s="4" t="s">
        <v>28</v>
      </c>
      <c r="I166" s="2">
        <v>9.5</v>
      </c>
    </row>
    <row r="167" spans="4:17">
      <c r="D167" s="23">
        <v>2025</v>
      </c>
    </row>
    <row r="171" spans="4:17">
      <c r="M171" s="4" t="s">
        <v>29</v>
      </c>
      <c r="N171" s="4" t="s">
        <v>10</v>
      </c>
      <c r="O171" s="4" t="s">
        <v>11</v>
      </c>
    </row>
    <row r="172" spans="4:17">
      <c r="M172" s="25">
        <v>2025</v>
      </c>
      <c r="N172" s="26">
        <v>9.5</v>
      </c>
      <c r="O172" s="26">
        <f>(0.0415*N172)+0.3762</f>
        <v>0.77045000000000008</v>
      </c>
      <c r="Q172">
        <f>(O174+J165)/2</f>
        <v>0.78558499999999998</v>
      </c>
    </row>
    <row r="173" spans="4:17" ht="15.75" thickBot="1">
      <c r="M173" s="24">
        <v>2023</v>
      </c>
      <c r="N173" s="2">
        <v>8.5</v>
      </c>
      <c r="O173" s="2">
        <f>(0.0415*N173)+0.3762</f>
        <v>0.72894999999999999</v>
      </c>
      <c r="Q173">
        <f>(J164+J165)/2</f>
        <v>0.73443499999999995</v>
      </c>
    </row>
    <row r="174" spans="4:17">
      <c r="N174" s="2">
        <v>10</v>
      </c>
      <c r="O174" s="2">
        <f>(0.0415*N174)+0.3762</f>
        <v>0.79120000000000001</v>
      </c>
    </row>
  </sheetData>
  <mergeCells count="46">
    <mergeCell ref="C87:C90"/>
    <mergeCell ref="F51:F54"/>
    <mergeCell ref="N124:O124"/>
    <mergeCell ref="F63:F66"/>
    <mergeCell ref="F67:F70"/>
    <mergeCell ref="F71:F74"/>
    <mergeCell ref="F75:F78"/>
    <mergeCell ref="F79:F82"/>
    <mergeCell ref="C124:F124"/>
    <mergeCell ref="F83:F86"/>
    <mergeCell ref="F87:F90"/>
    <mergeCell ref="C93:F93"/>
    <mergeCell ref="C63:C66"/>
    <mergeCell ref="C67:C70"/>
    <mergeCell ref="C71:C74"/>
    <mergeCell ref="C75:C78"/>
    <mergeCell ref="C83:C86"/>
    <mergeCell ref="C18:C21"/>
    <mergeCell ref="C22:C25"/>
    <mergeCell ref="F55:F58"/>
    <mergeCell ref="F59:F62"/>
    <mergeCell ref="F30:F33"/>
    <mergeCell ref="F34:F37"/>
    <mergeCell ref="F38:F41"/>
    <mergeCell ref="F42:F45"/>
    <mergeCell ref="C48:F48"/>
    <mergeCell ref="C51:C54"/>
    <mergeCell ref="C55:C58"/>
    <mergeCell ref="C59:C62"/>
    <mergeCell ref="C26:C29"/>
    <mergeCell ref="C156:F156"/>
    <mergeCell ref="C3:F3"/>
    <mergeCell ref="C30:C33"/>
    <mergeCell ref="C34:C37"/>
    <mergeCell ref="C38:C41"/>
    <mergeCell ref="C42:C45"/>
    <mergeCell ref="F6:F9"/>
    <mergeCell ref="F10:F13"/>
    <mergeCell ref="F14:F17"/>
    <mergeCell ref="F18:F21"/>
    <mergeCell ref="F22:F25"/>
    <mergeCell ref="F26:F29"/>
    <mergeCell ref="C6:C9"/>
    <mergeCell ref="C10:C13"/>
    <mergeCell ref="C14:C17"/>
    <mergeCell ref="C79:C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Correa</dc:creator>
  <cp:keywords/>
  <dc:description/>
  <cp:lastModifiedBy>BRYAN CRISTIAN MALLA GUAYLLAS</cp:lastModifiedBy>
  <cp:revision/>
  <dcterms:created xsi:type="dcterms:W3CDTF">2026-02-19T18:25:07Z</dcterms:created>
  <dcterms:modified xsi:type="dcterms:W3CDTF">2026-02-20T21:12:10Z</dcterms:modified>
  <cp:category/>
  <cp:contentStatus/>
</cp:coreProperties>
</file>